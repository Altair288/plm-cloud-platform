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7555\Desktop\"/>
    </mc:Choice>
  </mc:AlternateContent>
  <xr:revisionPtr revIDLastSave="0" documentId="13_ncr:1_{213958D2-56DA-403E-9FEA-E9647B0DB0A9}" xr6:coauthVersionLast="47" xr6:coauthVersionMax="47" xr10:uidLastSave="{00000000-0000-0000-0000-000000000000}"/>
  <bookViews>
    <workbookView xWindow="-110" yWindow="-110" windowWidth="30940" windowHeight="18700" activeTab="2" xr2:uid="{00000000-000D-0000-FFFF-FFFF00000000}"/>
  </bookViews>
  <sheets>
    <sheet name="填写说明" sheetId="1" r:id="rId1"/>
    <sheet name="分类层级" sheetId="2" r:id="rId2"/>
    <sheet name="属性定义" sheetId="3" r:id="rId3"/>
    <sheet name="枚举值定义" sheetId="4" r:id="rId4"/>
    <sheet name="代码清单" sheetId="5" r:id="rId5"/>
  </sheets>
  <definedNames>
    <definedName name="_xlnm._FilterDatabase" localSheetId="1" hidden="1">分类层级!$A$3:$N$260</definedName>
    <definedName name="_xlnm._FilterDatabase" localSheetId="3" hidden="1">枚举值定义!$A$3:$G$260</definedName>
    <definedName name="_xlnm._FilterDatabase" localSheetId="2" hidden="1">属性定义!$A$3:$U$260</definedName>
    <definedName name="BusinessDomainList">代码清单!$A$4:$A$9</definedName>
    <definedName name="DataTypeList">代码清单!$E$4:$E$9</definedName>
    <definedName name="YesNoList">代码清单!$C$4:$C$5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0" i="2" l="1"/>
  <c r="M260" i="2"/>
  <c r="L260" i="2"/>
  <c r="K260" i="2"/>
  <c r="J260" i="2"/>
  <c r="H260" i="2"/>
  <c r="I260" i="2" s="1"/>
  <c r="G260" i="2"/>
  <c r="F260" i="2"/>
  <c r="E260" i="2"/>
  <c r="N259" i="2"/>
  <c r="M259" i="2"/>
  <c r="L259" i="2"/>
  <c r="K259" i="2"/>
  <c r="J259" i="2"/>
  <c r="I259" i="2"/>
  <c r="H259" i="2"/>
  <c r="G259" i="2"/>
  <c r="F259" i="2"/>
  <c r="E259" i="2"/>
  <c r="N258" i="2"/>
  <c r="M258" i="2"/>
  <c r="L258" i="2"/>
  <c r="K258" i="2"/>
  <c r="J258" i="2"/>
  <c r="I258" i="2"/>
  <c r="H258" i="2"/>
  <c r="G258" i="2"/>
  <c r="F258" i="2"/>
  <c r="E258" i="2"/>
  <c r="N257" i="2"/>
  <c r="M257" i="2"/>
  <c r="L257" i="2"/>
  <c r="K257" i="2"/>
  <c r="J257" i="2"/>
  <c r="H257" i="2"/>
  <c r="I257" i="2" s="1"/>
  <c r="G257" i="2"/>
  <c r="F257" i="2"/>
  <c r="E257" i="2"/>
  <c r="N256" i="2"/>
  <c r="M256" i="2"/>
  <c r="L256" i="2"/>
  <c r="K256" i="2"/>
  <c r="J256" i="2"/>
  <c r="I256" i="2"/>
  <c r="H256" i="2"/>
  <c r="G256" i="2"/>
  <c r="F256" i="2"/>
  <c r="E256" i="2"/>
  <c r="N255" i="2"/>
  <c r="M255" i="2"/>
  <c r="L255" i="2"/>
  <c r="K255" i="2"/>
  <c r="J255" i="2"/>
  <c r="H255" i="2"/>
  <c r="I255" i="2" s="1"/>
  <c r="G255" i="2"/>
  <c r="F255" i="2"/>
  <c r="E255" i="2"/>
  <c r="N254" i="2"/>
  <c r="M254" i="2"/>
  <c r="L254" i="2"/>
  <c r="K254" i="2"/>
  <c r="J254" i="2"/>
  <c r="I254" i="2"/>
  <c r="H254" i="2"/>
  <c r="G254" i="2"/>
  <c r="F254" i="2"/>
  <c r="E254" i="2"/>
  <c r="N253" i="2"/>
  <c r="M253" i="2"/>
  <c r="L253" i="2"/>
  <c r="K253" i="2"/>
  <c r="J253" i="2"/>
  <c r="H253" i="2"/>
  <c r="I253" i="2" s="1"/>
  <c r="G253" i="2"/>
  <c r="F253" i="2"/>
  <c r="E253" i="2"/>
  <c r="N252" i="2"/>
  <c r="M252" i="2"/>
  <c r="L252" i="2"/>
  <c r="K252" i="2"/>
  <c r="J252" i="2"/>
  <c r="I252" i="2"/>
  <c r="H252" i="2"/>
  <c r="G252" i="2"/>
  <c r="F252" i="2"/>
  <c r="E252" i="2"/>
  <c r="N251" i="2"/>
  <c r="M251" i="2"/>
  <c r="L251" i="2"/>
  <c r="K251" i="2"/>
  <c r="J251" i="2"/>
  <c r="H251" i="2"/>
  <c r="I251" i="2" s="1"/>
  <c r="G251" i="2"/>
  <c r="F251" i="2"/>
  <c r="E251" i="2"/>
  <c r="N250" i="2"/>
  <c r="M250" i="2"/>
  <c r="L250" i="2"/>
  <c r="K250" i="2"/>
  <c r="J250" i="2"/>
  <c r="H250" i="2"/>
  <c r="I250" i="2" s="1"/>
  <c r="G250" i="2"/>
  <c r="F250" i="2"/>
  <c r="E250" i="2"/>
  <c r="N249" i="2"/>
  <c r="M249" i="2"/>
  <c r="L249" i="2"/>
  <c r="K249" i="2"/>
  <c r="J249" i="2"/>
  <c r="I249" i="2"/>
  <c r="H249" i="2"/>
  <c r="G249" i="2"/>
  <c r="F249" i="2"/>
  <c r="E249" i="2"/>
  <c r="N248" i="2"/>
  <c r="M248" i="2"/>
  <c r="L248" i="2"/>
  <c r="K248" i="2"/>
  <c r="J248" i="2"/>
  <c r="H248" i="2"/>
  <c r="I248" i="2" s="1"/>
  <c r="G248" i="2"/>
  <c r="F248" i="2"/>
  <c r="E248" i="2"/>
  <c r="N247" i="2"/>
  <c r="M247" i="2"/>
  <c r="L247" i="2"/>
  <c r="K247" i="2"/>
  <c r="J247" i="2"/>
  <c r="I247" i="2"/>
  <c r="H247" i="2"/>
  <c r="G247" i="2"/>
  <c r="F247" i="2"/>
  <c r="E247" i="2"/>
  <c r="N246" i="2"/>
  <c r="M246" i="2"/>
  <c r="L246" i="2"/>
  <c r="K246" i="2"/>
  <c r="J246" i="2"/>
  <c r="H246" i="2"/>
  <c r="I246" i="2" s="1"/>
  <c r="G246" i="2"/>
  <c r="F246" i="2"/>
  <c r="E246" i="2"/>
  <c r="N245" i="2"/>
  <c r="M245" i="2"/>
  <c r="L245" i="2"/>
  <c r="K245" i="2"/>
  <c r="J245" i="2"/>
  <c r="I245" i="2"/>
  <c r="H245" i="2"/>
  <c r="G245" i="2"/>
  <c r="F245" i="2"/>
  <c r="E245" i="2"/>
  <c r="N244" i="2"/>
  <c r="M244" i="2"/>
  <c r="L244" i="2"/>
  <c r="K244" i="2"/>
  <c r="J244" i="2"/>
  <c r="H244" i="2"/>
  <c r="I244" i="2" s="1"/>
  <c r="G244" i="2"/>
  <c r="F244" i="2"/>
  <c r="E244" i="2"/>
  <c r="N243" i="2"/>
  <c r="M243" i="2"/>
  <c r="L243" i="2"/>
  <c r="K243" i="2"/>
  <c r="J243" i="2"/>
  <c r="H243" i="2"/>
  <c r="I243" i="2" s="1"/>
  <c r="G243" i="2"/>
  <c r="F243" i="2"/>
  <c r="E243" i="2"/>
  <c r="N242" i="2"/>
  <c r="M242" i="2"/>
  <c r="L242" i="2"/>
  <c r="K242" i="2"/>
  <c r="J242" i="2"/>
  <c r="I242" i="2"/>
  <c r="H242" i="2"/>
  <c r="G242" i="2"/>
  <c r="F242" i="2"/>
  <c r="E242" i="2"/>
  <c r="N241" i="2"/>
  <c r="M241" i="2"/>
  <c r="L241" i="2"/>
  <c r="K241" i="2"/>
  <c r="J241" i="2"/>
  <c r="H241" i="2"/>
  <c r="I241" i="2" s="1"/>
  <c r="G241" i="2"/>
  <c r="F241" i="2"/>
  <c r="E241" i="2"/>
  <c r="N240" i="2"/>
  <c r="M240" i="2"/>
  <c r="L240" i="2"/>
  <c r="K240" i="2"/>
  <c r="J240" i="2"/>
  <c r="I240" i="2"/>
  <c r="H240" i="2"/>
  <c r="G240" i="2"/>
  <c r="F240" i="2"/>
  <c r="E240" i="2"/>
  <c r="N239" i="2"/>
  <c r="M239" i="2"/>
  <c r="L239" i="2"/>
  <c r="K239" i="2"/>
  <c r="J239" i="2"/>
  <c r="H239" i="2"/>
  <c r="I239" i="2" s="1"/>
  <c r="G239" i="2"/>
  <c r="F239" i="2"/>
  <c r="E239" i="2"/>
  <c r="N238" i="2"/>
  <c r="M238" i="2"/>
  <c r="L238" i="2"/>
  <c r="K238" i="2"/>
  <c r="J238" i="2"/>
  <c r="I238" i="2"/>
  <c r="H238" i="2"/>
  <c r="G238" i="2"/>
  <c r="F238" i="2"/>
  <c r="E238" i="2"/>
  <c r="N237" i="2"/>
  <c r="M237" i="2"/>
  <c r="L237" i="2"/>
  <c r="K237" i="2"/>
  <c r="J237" i="2"/>
  <c r="H237" i="2"/>
  <c r="I237" i="2" s="1"/>
  <c r="G237" i="2"/>
  <c r="F237" i="2"/>
  <c r="E237" i="2"/>
  <c r="N236" i="2"/>
  <c r="M236" i="2"/>
  <c r="L236" i="2"/>
  <c r="K236" i="2"/>
  <c r="J236" i="2"/>
  <c r="H236" i="2"/>
  <c r="I236" i="2" s="1"/>
  <c r="G236" i="2"/>
  <c r="F236" i="2"/>
  <c r="E236" i="2"/>
  <c r="N235" i="2"/>
  <c r="M235" i="2"/>
  <c r="L235" i="2"/>
  <c r="K235" i="2"/>
  <c r="J235" i="2"/>
  <c r="I235" i="2"/>
  <c r="H235" i="2"/>
  <c r="G235" i="2"/>
  <c r="F235" i="2"/>
  <c r="E235" i="2"/>
  <c r="N234" i="2"/>
  <c r="M234" i="2"/>
  <c r="L234" i="2"/>
  <c r="K234" i="2"/>
  <c r="J234" i="2"/>
  <c r="H234" i="2"/>
  <c r="I234" i="2" s="1"/>
  <c r="G234" i="2"/>
  <c r="F234" i="2"/>
  <c r="E234" i="2"/>
  <c r="N233" i="2"/>
  <c r="M233" i="2"/>
  <c r="L233" i="2"/>
  <c r="K233" i="2"/>
  <c r="J233" i="2"/>
  <c r="I233" i="2"/>
  <c r="H233" i="2"/>
  <c r="G233" i="2"/>
  <c r="F233" i="2"/>
  <c r="E233" i="2"/>
  <c r="N232" i="2"/>
  <c r="M232" i="2"/>
  <c r="L232" i="2"/>
  <c r="K232" i="2"/>
  <c r="J232" i="2"/>
  <c r="H232" i="2"/>
  <c r="I232" i="2" s="1"/>
  <c r="G232" i="2"/>
  <c r="F232" i="2"/>
  <c r="E232" i="2"/>
  <c r="N231" i="2"/>
  <c r="M231" i="2"/>
  <c r="L231" i="2"/>
  <c r="K231" i="2"/>
  <c r="J231" i="2"/>
  <c r="I231" i="2"/>
  <c r="H231" i="2"/>
  <c r="G231" i="2"/>
  <c r="F231" i="2"/>
  <c r="E231" i="2"/>
  <c r="N230" i="2"/>
  <c r="M230" i="2"/>
  <c r="L230" i="2"/>
  <c r="K230" i="2"/>
  <c r="J230" i="2"/>
  <c r="H230" i="2"/>
  <c r="I230" i="2" s="1"/>
  <c r="G230" i="2"/>
  <c r="F230" i="2"/>
  <c r="E230" i="2"/>
  <c r="N229" i="2"/>
  <c r="M229" i="2"/>
  <c r="L229" i="2"/>
  <c r="K229" i="2"/>
  <c r="J229" i="2"/>
  <c r="H229" i="2"/>
  <c r="I229" i="2" s="1"/>
  <c r="G229" i="2"/>
  <c r="F229" i="2"/>
  <c r="E229" i="2"/>
  <c r="N228" i="2"/>
  <c r="M228" i="2"/>
  <c r="L228" i="2"/>
  <c r="K228" i="2"/>
  <c r="J228" i="2"/>
  <c r="I228" i="2"/>
  <c r="H228" i="2"/>
  <c r="G228" i="2"/>
  <c r="F228" i="2"/>
  <c r="E228" i="2"/>
  <c r="N227" i="2"/>
  <c r="M227" i="2"/>
  <c r="L227" i="2"/>
  <c r="K227" i="2"/>
  <c r="J227" i="2"/>
  <c r="H227" i="2"/>
  <c r="I227" i="2" s="1"/>
  <c r="G227" i="2"/>
  <c r="F227" i="2"/>
  <c r="E227" i="2"/>
  <c r="N226" i="2"/>
  <c r="M226" i="2"/>
  <c r="L226" i="2"/>
  <c r="K226" i="2"/>
  <c r="J226" i="2"/>
  <c r="I226" i="2"/>
  <c r="H226" i="2"/>
  <c r="G226" i="2"/>
  <c r="F226" i="2"/>
  <c r="E226" i="2"/>
  <c r="N225" i="2"/>
  <c r="M225" i="2"/>
  <c r="L225" i="2"/>
  <c r="K225" i="2"/>
  <c r="J225" i="2"/>
  <c r="H225" i="2"/>
  <c r="I225" i="2" s="1"/>
  <c r="G225" i="2"/>
  <c r="F225" i="2"/>
  <c r="E225" i="2"/>
  <c r="N224" i="2"/>
  <c r="M224" i="2"/>
  <c r="L224" i="2"/>
  <c r="K224" i="2"/>
  <c r="J224" i="2"/>
  <c r="I224" i="2"/>
  <c r="H224" i="2"/>
  <c r="G224" i="2"/>
  <c r="F224" i="2"/>
  <c r="E224" i="2"/>
  <c r="N223" i="2"/>
  <c r="M223" i="2"/>
  <c r="L223" i="2"/>
  <c r="K223" i="2"/>
  <c r="J223" i="2"/>
  <c r="H223" i="2"/>
  <c r="I223" i="2" s="1"/>
  <c r="G223" i="2"/>
  <c r="F223" i="2"/>
  <c r="E223" i="2"/>
  <c r="N222" i="2"/>
  <c r="M222" i="2"/>
  <c r="L222" i="2"/>
  <c r="K222" i="2"/>
  <c r="J222" i="2"/>
  <c r="H222" i="2"/>
  <c r="I222" i="2" s="1"/>
  <c r="G222" i="2"/>
  <c r="F222" i="2"/>
  <c r="E222" i="2"/>
  <c r="N221" i="2"/>
  <c r="M221" i="2"/>
  <c r="L221" i="2"/>
  <c r="K221" i="2"/>
  <c r="J221" i="2"/>
  <c r="I221" i="2"/>
  <c r="H221" i="2"/>
  <c r="G221" i="2"/>
  <c r="F221" i="2"/>
  <c r="E221" i="2"/>
  <c r="N220" i="2"/>
  <c r="M220" i="2"/>
  <c r="L220" i="2"/>
  <c r="K220" i="2"/>
  <c r="J220" i="2"/>
  <c r="H220" i="2"/>
  <c r="I220" i="2" s="1"/>
  <c r="G220" i="2"/>
  <c r="F220" i="2"/>
  <c r="E220" i="2"/>
  <c r="N219" i="2"/>
  <c r="M219" i="2"/>
  <c r="L219" i="2"/>
  <c r="K219" i="2"/>
  <c r="J219" i="2"/>
  <c r="I219" i="2"/>
  <c r="H219" i="2"/>
  <c r="G219" i="2"/>
  <c r="F219" i="2"/>
  <c r="E219" i="2"/>
  <c r="N218" i="2"/>
  <c r="M218" i="2"/>
  <c r="L218" i="2"/>
  <c r="K218" i="2"/>
  <c r="J218" i="2"/>
  <c r="H218" i="2"/>
  <c r="I218" i="2" s="1"/>
  <c r="G218" i="2"/>
  <c r="F218" i="2"/>
  <c r="E218" i="2"/>
  <c r="N217" i="2"/>
  <c r="M217" i="2"/>
  <c r="L217" i="2"/>
  <c r="K217" i="2"/>
  <c r="J217" i="2"/>
  <c r="I217" i="2"/>
  <c r="H217" i="2"/>
  <c r="G217" i="2"/>
  <c r="F217" i="2"/>
  <c r="E217" i="2"/>
  <c r="N216" i="2"/>
  <c r="M216" i="2"/>
  <c r="L216" i="2"/>
  <c r="K216" i="2"/>
  <c r="J216" i="2"/>
  <c r="H216" i="2"/>
  <c r="I216" i="2" s="1"/>
  <c r="G216" i="2"/>
  <c r="F216" i="2"/>
  <c r="E216" i="2"/>
  <c r="N215" i="2"/>
  <c r="M215" i="2"/>
  <c r="L215" i="2"/>
  <c r="K215" i="2"/>
  <c r="J215" i="2"/>
  <c r="H215" i="2"/>
  <c r="I215" i="2" s="1"/>
  <c r="G215" i="2"/>
  <c r="F215" i="2"/>
  <c r="E215" i="2"/>
  <c r="N214" i="2"/>
  <c r="M214" i="2"/>
  <c r="L214" i="2"/>
  <c r="K214" i="2"/>
  <c r="J214" i="2"/>
  <c r="I214" i="2"/>
  <c r="H214" i="2"/>
  <c r="G214" i="2"/>
  <c r="F214" i="2"/>
  <c r="E214" i="2"/>
  <c r="N213" i="2"/>
  <c r="M213" i="2"/>
  <c r="L213" i="2"/>
  <c r="K213" i="2"/>
  <c r="J213" i="2"/>
  <c r="H213" i="2"/>
  <c r="I213" i="2" s="1"/>
  <c r="G213" i="2"/>
  <c r="F213" i="2"/>
  <c r="E213" i="2"/>
  <c r="N212" i="2"/>
  <c r="M212" i="2"/>
  <c r="L212" i="2"/>
  <c r="K212" i="2"/>
  <c r="J212" i="2"/>
  <c r="I212" i="2"/>
  <c r="H212" i="2"/>
  <c r="G212" i="2"/>
  <c r="F212" i="2"/>
  <c r="E212" i="2"/>
  <c r="N211" i="2"/>
  <c r="M211" i="2"/>
  <c r="L211" i="2"/>
  <c r="K211" i="2"/>
  <c r="J211" i="2"/>
  <c r="H211" i="2"/>
  <c r="I211" i="2" s="1"/>
  <c r="G211" i="2"/>
  <c r="F211" i="2"/>
  <c r="E211" i="2"/>
  <c r="N210" i="2"/>
  <c r="M210" i="2"/>
  <c r="L210" i="2"/>
  <c r="K210" i="2"/>
  <c r="J210" i="2"/>
  <c r="I210" i="2"/>
  <c r="H210" i="2"/>
  <c r="G210" i="2"/>
  <c r="F210" i="2"/>
  <c r="E210" i="2"/>
  <c r="N209" i="2"/>
  <c r="M209" i="2"/>
  <c r="L209" i="2"/>
  <c r="K209" i="2"/>
  <c r="J209" i="2"/>
  <c r="H209" i="2"/>
  <c r="I209" i="2" s="1"/>
  <c r="G209" i="2"/>
  <c r="F209" i="2"/>
  <c r="E209" i="2"/>
  <c r="N208" i="2"/>
  <c r="M208" i="2"/>
  <c r="L208" i="2"/>
  <c r="K208" i="2"/>
  <c r="J208" i="2"/>
  <c r="H208" i="2"/>
  <c r="I208" i="2" s="1"/>
  <c r="G208" i="2"/>
  <c r="F208" i="2"/>
  <c r="E208" i="2"/>
  <c r="N207" i="2"/>
  <c r="M207" i="2"/>
  <c r="L207" i="2"/>
  <c r="K207" i="2"/>
  <c r="J207" i="2"/>
  <c r="I207" i="2"/>
  <c r="H207" i="2"/>
  <c r="G207" i="2"/>
  <c r="F207" i="2"/>
  <c r="E207" i="2"/>
  <c r="N206" i="2"/>
  <c r="M206" i="2"/>
  <c r="L206" i="2"/>
  <c r="K206" i="2"/>
  <c r="J206" i="2"/>
  <c r="H206" i="2"/>
  <c r="I206" i="2" s="1"/>
  <c r="G206" i="2"/>
  <c r="F206" i="2"/>
  <c r="E206" i="2"/>
  <c r="N205" i="2"/>
  <c r="M205" i="2"/>
  <c r="L205" i="2"/>
  <c r="K205" i="2"/>
  <c r="J205" i="2"/>
  <c r="I205" i="2"/>
  <c r="H205" i="2"/>
  <c r="G205" i="2"/>
  <c r="F205" i="2"/>
  <c r="E205" i="2"/>
  <c r="N204" i="2"/>
  <c r="M204" i="2"/>
  <c r="L204" i="2"/>
  <c r="K204" i="2"/>
  <c r="J204" i="2"/>
  <c r="H204" i="2"/>
  <c r="I204" i="2" s="1"/>
  <c r="G204" i="2"/>
  <c r="F204" i="2"/>
  <c r="E204" i="2"/>
  <c r="N203" i="2"/>
  <c r="M203" i="2"/>
  <c r="L203" i="2"/>
  <c r="K203" i="2"/>
  <c r="J203" i="2"/>
  <c r="I203" i="2"/>
  <c r="H203" i="2"/>
  <c r="G203" i="2"/>
  <c r="F203" i="2"/>
  <c r="E203" i="2"/>
  <c r="N202" i="2"/>
  <c r="M202" i="2"/>
  <c r="L202" i="2"/>
  <c r="K202" i="2"/>
  <c r="J202" i="2"/>
  <c r="H202" i="2"/>
  <c r="I202" i="2" s="1"/>
  <c r="G202" i="2"/>
  <c r="F202" i="2"/>
  <c r="E202" i="2"/>
  <c r="N201" i="2"/>
  <c r="M201" i="2"/>
  <c r="L201" i="2"/>
  <c r="K201" i="2"/>
  <c r="J201" i="2"/>
  <c r="H201" i="2"/>
  <c r="I201" i="2" s="1"/>
  <c r="G201" i="2"/>
  <c r="F201" i="2"/>
  <c r="E201" i="2"/>
  <c r="N200" i="2"/>
  <c r="M200" i="2"/>
  <c r="L200" i="2"/>
  <c r="K200" i="2"/>
  <c r="J200" i="2"/>
  <c r="I200" i="2"/>
  <c r="H200" i="2"/>
  <c r="G200" i="2"/>
  <c r="F200" i="2"/>
  <c r="E200" i="2"/>
  <c r="N199" i="2"/>
  <c r="M199" i="2"/>
  <c r="L199" i="2"/>
  <c r="K199" i="2"/>
  <c r="J199" i="2"/>
  <c r="H199" i="2"/>
  <c r="I199" i="2" s="1"/>
  <c r="G199" i="2"/>
  <c r="F199" i="2"/>
  <c r="E199" i="2"/>
  <c r="N198" i="2"/>
  <c r="M198" i="2"/>
  <c r="L198" i="2"/>
  <c r="K198" i="2"/>
  <c r="J198" i="2"/>
  <c r="I198" i="2"/>
  <c r="H198" i="2"/>
  <c r="G198" i="2"/>
  <c r="F198" i="2"/>
  <c r="E198" i="2"/>
  <c r="N197" i="2"/>
  <c r="M197" i="2"/>
  <c r="L197" i="2"/>
  <c r="K197" i="2"/>
  <c r="J197" i="2"/>
  <c r="H197" i="2"/>
  <c r="I197" i="2" s="1"/>
  <c r="G197" i="2"/>
  <c r="F197" i="2"/>
  <c r="E197" i="2"/>
  <c r="N196" i="2"/>
  <c r="M196" i="2"/>
  <c r="L196" i="2"/>
  <c r="K196" i="2"/>
  <c r="J196" i="2"/>
  <c r="I196" i="2"/>
  <c r="H196" i="2"/>
  <c r="G196" i="2"/>
  <c r="F196" i="2"/>
  <c r="E196" i="2"/>
  <c r="N195" i="2"/>
  <c r="M195" i="2"/>
  <c r="L195" i="2"/>
  <c r="K195" i="2"/>
  <c r="J195" i="2"/>
  <c r="H195" i="2"/>
  <c r="I195" i="2" s="1"/>
  <c r="G195" i="2"/>
  <c r="F195" i="2"/>
  <c r="E195" i="2"/>
  <c r="N194" i="2"/>
  <c r="M194" i="2"/>
  <c r="L194" i="2"/>
  <c r="K194" i="2"/>
  <c r="J194" i="2"/>
  <c r="H194" i="2"/>
  <c r="I194" i="2" s="1"/>
  <c r="G194" i="2"/>
  <c r="F194" i="2"/>
  <c r="E194" i="2"/>
  <c r="N193" i="2"/>
  <c r="M193" i="2"/>
  <c r="L193" i="2"/>
  <c r="K193" i="2"/>
  <c r="J193" i="2"/>
  <c r="I193" i="2"/>
  <c r="H193" i="2"/>
  <c r="G193" i="2"/>
  <c r="F193" i="2"/>
  <c r="E193" i="2"/>
  <c r="N192" i="2"/>
  <c r="M192" i="2"/>
  <c r="L192" i="2"/>
  <c r="K192" i="2"/>
  <c r="J192" i="2"/>
  <c r="H192" i="2"/>
  <c r="I192" i="2" s="1"/>
  <c r="G192" i="2"/>
  <c r="F192" i="2"/>
  <c r="E192" i="2"/>
  <c r="N191" i="2"/>
  <c r="M191" i="2"/>
  <c r="L191" i="2"/>
  <c r="K191" i="2"/>
  <c r="J191" i="2"/>
  <c r="I191" i="2"/>
  <c r="H191" i="2"/>
  <c r="G191" i="2"/>
  <c r="F191" i="2"/>
  <c r="E191" i="2"/>
  <c r="N190" i="2"/>
  <c r="M190" i="2"/>
  <c r="L190" i="2"/>
  <c r="K190" i="2"/>
  <c r="J190" i="2"/>
  <c r="H190" i="2"/>
  <c r="I190" i="2" s="1"/>
  <c r="G190" i="2"/>
  <c r="F190" i="2"/>
  <c r="E190" i="2"/>
  <c r="N189" i="2"/>
  <c r="M189" i="2"/>
  <c r="L189" i="2"/>
  <c r="K189" i="2"/>
  <c r="J189" i="2"/>
  <c r="I189" i="2"/>
  <c r="H189" i="2"/>
  <c r="G189" i="2"/>
  <c r="F189" i="2"/>
  <c r="E189" i="2"/>
  <c r="N188" i="2"/>
  <c r="M188" i="2"/>
  <c r="L188" i="2"/>
  <c r="K188" i="2"/>
  <c r="J188" i="2"/>
  <c r="H188" i="2"/>
  <c r="I188" i="2" s="1"/>
  <c r="G188" i="2"/>
  <c r="F188" i="2"/>
  <c r="E188" i="2"/>
  <c r="N187" i="2"/>
  <c r="M187" i="2"/>
  <c r="L187" i="2"/>
  <c r="K187" i="2"/>
  <c r="J187" i="2"/>
  <c r="H187" i="2"/>
  <c r="I187" i="2" s="1"/>
  <c r="G187" i="2"/>
  <c r="F187" i="2"/>
  <c r="E187" i="2"/>
  <c r="N186" i="2"/>
  <c r="M186" i="2"/>
  <c r="L186" i="2"/>
  <c r="K186" i="2"/>
  <c r="J186" i="2"/>
  <c r="I186" i="2"/>
  <c r="H186" i="2"/>
  <c r="G186" i="2"/>
  <c r="F186" i="2"/>
  <c r="E186" i="2"/>
  <c r="N185" i="2"/>
  <c r="M185" i="2"/>
  <c r="L185" i="2"/>
  <c r="K185" i="2"/>
  <c r="J185" i="2"/>
  <c r="H185" i="2"/>
  <c r="I185" i="2" s="1"/>
  <c r="G185" i="2"/>
  <c r="F185" i="2"/>
  <c r="E185" i="2"/>
  <c r="N184" i="2"/>
  <c r="M184" i="2"/>
  <c r="L184" i="2"/>
  <c r="K184" i="2"/>
  <c r="J184" i="2"/>
  <c r="I184" i="2"/>
  <c r="H184" i="2"/>
  <c r="G184" i="2"/>
  <c r="F184" i="2"/>
  <c r="E184" i="2"/>
  <c r="N183" i="2"/>
  <c r="M183" i="2"/>
  <c r="L183" i="2"/>
  <c r="K183" i="2"/>
  <c r="J183" i="2"/>
  <c r="H183" i="2"/>
  <c r="I183" i="2" s="1"/>
  <c r="G183" i="2"/>
  <c r="F183" i="2"/>
  <c r="E183" i="2"/>
  <c r="N182" i="2"/>
  <c r="M182" i="2"/>
  <c r="L182" i="2"/>
  <c r="K182" i="2"/>
  <c r="J182" i="2"/>
  <c r="I182" i="2"/>
  <c r="H182" i="2"/>
  <c r="G182" i="2"/>
  <c r="F182" i="2"/>
  <c r="E182" i="2"/>
  <c r="N181" i="2"/>
  <c r="M181" i="2"/>
  <c r="L181" i="2"/>
  <c r="K181" i="2"/>
  <c r="J181" i="2"/>
  <c r="H181" i="2"/>
  <c r="I181" i="2" s="1"/>
  <c r="G181" i="2"/>
  <c r="F181" i="2"/>
  <c r="E181" i="2"/>
  <c r="N180" i="2"/>
  <c r="M180" i="2"/>
  <c r="L180" i="2"/>
  <c r="K180" i="2"/>
  <c r="J180" i="2"/>
  <c r="H180" i="2"/>
  <c r="I180" i="2" s="1"/>
  <c r="G180" i="2"/>
  <c r="F180" i="2"/>
  <c r="E180" i="2"/>
  <c r="N179" i="2"/>
  <c r="M179" i="2"/>
  <c r="L179" i="2"/>
  <c r="K179" i="2"/>
  <c r="J179" i="2"/>
  <c r="I179" i="2"/>
  <c r="H179" i="2"/>
  <c r="G179" i="2"/>
  <c r="F179" i="2"/>
  <c r="E179" i="2"/>
  <c r="N178" i="2"/>
  <c r="M178" i="2"/>
  <c r="L178" i="2"/>
  <c r="K178" i="2"/>
  <c r="J178" i="2"/>
  <c r="H178" i="2"/>
  <c r="I178" i="2" s="1"/>
  <c r="G178" i="2"/>
  <c r="F178" i="2"/>
  <c r="E178" i="2"/>
  <c r="N177" i="2"/>
  <c r="M177" i="2"/>
  <c r="L177" i="2"/>
  <c r="K177" i="2"/>
  <c r="J177" i="2"/>
  <c r="I177" i="2"/>
  <c r="H177" i="2"/>
  <c r="G177" i="2"/>
  <c r="F177" i="2"/>
  <c r="E177" i="2"/>
  <c r="N176" i="2"/>
  <c r="M176" i="2"/>
  <c r="L176" i="2"/>
  <c r="K176" i="2"/>
  <c r="J176" i="2"/>
  <c r="H176" i="2"/>
  <c r="I176" i="2" s="1"/>
  <c r="G176" i="2"/>
  <c r="F176" i="2"/>
  <c r="E176" i="2"/>
  <c r="N175" i="2"/>
  <c r="M175" i="2"/>
  <c r="L175" i="2"/>
  <c r="K175" i="2"/>
  <c r="J175" i="2"/>
  <c r="I175" i="2"/>
  <c r="H175" i="2"/>
  <c r="G175" i="2"/>
  <c r="F175" i="2"/>
  <c r="E175" i="2"/>
  <c r="N174" i="2"/>
  <c r="M174" i="2"/>
  <c r="L174" i="2"/>
  <c r="K174" i="2"/>
  <c r="J174" i="2"/>
  <c r="H174" i="2"/>
  <c r="I174" i="2" s="1"/>
  <c r="G174" i="2"/>
  <c r="F174" i="2"/>
  <c r="E174" i="2"/>
  <c r="N173" i="2"/>
  <c r="M173" i="2"/>
  <c r="L173" i="2"/>
  <c r="K173" i="2"/>
  <c r="J173" i="2"/>
  <c r="H173" i="2"/>
  <c r="I173" i="2" s="1"/>
  <c r="G173" i="2"/>
  <c r="F173" i="2"/>
  <c r="E173" i="2"/>
  <c r="N172" i="2"/>
  <c r="M172" i="2"/>
  <c r="L172" i="2"/>
  <c r="K172" i="2"/>
  <c r="J172" i="2"/>
  <c r="I172" i="2"/>
  <c r="H172" i="2"/>
  <c r="G172" i="2"/>
  <c r="F172" i="2"/>
  <c r="E172" i="2"/>
  <c r="N171" i="2"/>
  <c r="M171" i="2"/>
  <c r="L171" i="2"/>
  <c r="K171" i="2"/>
  <c r="J171" i="2"/>
  <c r="H171" i="2"/>
  <c r="I171" i="2" s="1"/>
  <c r="G171" i="2"/>
  <c r="F171" i="2"/>
  <c r="E171" i="2"/>
  <c r="N170" i="2"/>
  <c r="M170" i="2"/>
  <c r="L170" i="2"/>
  <c r="K170" i="2"/>
  <c r="J170" i="2"/>
  <c r="I170" i="2"/>
  <c r="H170" i="2"/>
  <c r="G170" i="2"/>
  <c r="F170" i="2"/>
  <c r="E170" i="2"/>
  <c r="N169" i="2"/>
  <c r="M169" i="2"/>
  <c r="L169" i="2"/>
  <c r="K169" i="2"/>
  <c r="J169" i="2"/>
  <c r="H169" i="2"/>
  <c r="I169" i="2" s="1"/>
  <c r="G169" i="2"/>
  <c r="F169" i="2"/>
  <c r="E169" i="2"/>
  <c r="N168" i="2"/>
  <c r="M168" i="2"/>
  <c r="L168" i="2"/>
  <c r="K168" i="2"/>
  <c r="J168" i="2"/>
  <c r="I168" i="2"/>
  <c r="H168" i="2"/>
  <c r="G168" i="2"/>
  <c r="F168" i="2"/>
  <c r="E168" i="2"/>
  <c r="N167" i="2"/>
  <c r="M167" i="2"/>
  <c r="L167" i="2"/>
  <c r="K167" i="2"/>
  <c r="J167" i="2"/>
  <c r="H167" i="2"/>
  <c r="I167" i="2" s="1"/>
  <c r="G167" i="2"/>
  <c r="F167" i="2"/>
  <c r="E167" i="2"/>
  <c r="N166" i="2"/>
  <c r="M166" i="2"/>
  <c r="L166" i="2"/>
  <c r="K166" i="2"/>
  <c r="J166" i="2"/>
  <c r="H166" i="2"/>
  <c r="I166" i="2" s="1"/>
  <c r="G166" i="2"/>
  <c r="F166" i="2"/>
  <c r="E166" i="2"/>
  <c r="N165" i="2"/>
  <c r="M165" i="2"/>
  <c r="L165" i="2"/>
  <c r="K165" i="2"/>
  <c r="J165" i="2"/>
  <c r="I165" i="2"/>
  <c r="H165" i="2"/>
  <c r="G165" i="2"/>
  <c r="F165" i="2"/>
  <c r="E165" i="2"/>
  <c r="N164" i="2"/>
  <c r="M164" i="2"/>
  <c r="L164" i="2"/>
  <c r="K164" i="2"/>
  <c r="J164" i="2"/>
  <c r="H164" i="2"/>
  <c r="I164" i="2" s="1"/>
  <c r="G164" i="2"/>
  <c r="F164" i="2"/>
  <c r="E164" i="2"/>
  <c r="N163" i="2"/>
  <c r="M163" i="2"/>
  <c r="L163" i="2"/>
  <c r="K163" i="2"/>
  <c r="J163" i="2"/>
  <c r="I163" i="2"/>
  <c r="H163" i="2"/>
  <c r="G163" i="2"/>
  <c r="F163" i="2"/>
  <c r="E163" i="2"/>
  <c r="N162" i="2"/>
  <c r="M162" i="2"/>
  <c r="L162" i="2"/>
  <c r="K162" i="2"/>
  <c r="J162" i="2"/>
  <c r="H162" i="2"/>
  <c r="I162" i="2" s="1"/>
  <c r="G162" i="2"/>
  <c r="F162" i="2"/>
  <c r="E162" i="2"/>
  <c r="N161" i="2"/>
  <c r="M161" i="2"/>
  <c r="L161" i="2"/>
  <c r="K161" i="2"/>
  <c r="J161" i="2"/>
  <c r="I161" i="2"/>
  <c r="H161" i="2"/>
  <c r="G161" i="2"/>
  <c r="F161" i="2"/>
  <c r="E161" i="2"/>
  <c r="N160" i="2"/>
  <c r="M160" i="2"/>
  <c r="L160" i="2"/>
  <c r="K160" i="2"/>
  <c r="J160" i="2"/>
  <c r="H160" i="2"/>
  <c r="I160" i="2" s="1"/>
  <c r="G160" i="2"/>
  <c r="F160" i="2"/>
  <c r="E160" i="2"/>
  <c r="N159" i="2"/>
  <c r="M159" i="2"/>
  <c r="L159" i="2"/>
  <c r="K159" i="2"/>
  <c r="J159" i="2"/>
  <c r="H159" i="2"/>
  <c r="I159" i="2" s="1"/>
  <c r="G159" i="2"/>
  <c r="F159" i="2"/>
  <c r="E159" i="2"/>
  <c r="N158" i="2"/>
  <c r="M158" i="2"/>
  <c r="L158" i="2"/>
  <c r="K158" i="2"/>
  <c r="J158" i="2"/>
  <c r="I158" i="2"/>
  <c r="H158" i="2"/>
  <c r="G158" i="2"/>
  <c r="F158" i="2"/>
  <c r="E158" i="2"/>
  <c r="N157" i="2"/>
  <c r="M157" i="2"/>
  <c r="L157" i="2"/>
  <c r="K157" i="2"/>
  <c r="J157" i="2"/>
  <c r="H157" i="2"/>
  <c r="I157" i="2" s="1"/>
  <c r="G157" i="2"/>
  <c r="F157" i="2"/>
  <c r="E157" i="2"/>
  <c r="N156" i="2"/>
  <c r="M156" i="2"/>
  <c r="L156" i="2"/>
  <c r="K156" i="2"/>
  <c r="J156" i="2"/>
  <c r="I156" i="2"/>
  <c r="H156" i="2"/>
  <c r="G156" i="2"/>
  <c r="F156" i="2"/>
  <c r="E156" i="2"/>
  <c r="N155" i="2"/>
  <c r="M155" i="2"/>
  <c r="L155" i="2"/>
  <c r="K155" i="2"/>
  <c r="J155" i="2"/>
  <c r="H155" i="2"/>
  <c r="I155" i="2" s="1"/>
  <c r="G155" i="2"/>
  <c r="F155" i="2"/>
  <c r="E155" i="2"/>
  <c r="N154" i="2"/>
  <c r="M154" i="2"/>
  <c r="L154" i="2"/>
  <c r="K154" i="2"/>
  <c r="J154" i="2"/>
  <c r="I154" i="2"/>
  <c r="H154" i="2"/>
  <c r="G154" i="2"/>
  <c r="F154" i="2"/>
  <c r="E154" i="2"/>
  <c r="N153" i="2"/>
  <c r="M153" i="2"/>
  <c r="L153" i="2"/>
  <c r="K153" i="2"/>
  <c r="J153" i="2"/>
  <c r="H153" i="2"/>
  <c r="I153" i="2" s="1"/>
  <c r="G153" i="2"/>
  <c r="F153" i="2"/>
  <c r="E153" i="2"/>
  <c r="N152" i="2"/>
  <c r="M152" i="2"/>
  <c r="L152" i="2"/>
  <c r="K152" i="2"/>
  <c r="J152" i="2"/>
  <c r="H152" i="2"/>
  <c r="I152" i="2" s="1"/>
  <c r="G152" i="2"/>
  <c r="F152" i="2"/>
  <c r="E152" i="2"/>
  <c r="N151" i="2"/>
  <c r="M151" i="2"/>
  <c r="L151" i="2"/>
  <c r="K151" i="2"/>
  <c r="J151" i="2"/>
  <c r="I151" i="2"/>
  <c r="H151" i="2"/>
  <c r="G151" i="2"/>
  <c r="F151" i="2"/>
  <c r="E151" i="2"/>
  <c r="N150" i="2"/>
  <c r="M150" i="2"/>
  <c r="L150" i="2"/>
  <c r="K150" i="2"/>
  <c r="J150" i="2"/>
  <c r="H150" i="2"/>
  <c r="I150" i="2" s="1"/>
  <c r="G150" i="2"/>
  <c r="F150" i="2"/>
  <c r="E150" i="2"/>
  <c r="N149" i="2"/>
  <c r="M149" i="2"/>
  <c r="L149" i="2"/>
  <c r="K149" i="2"/>
  <c r="J149" i="2"/>
  <c r="I149" i="2"/>
  <c r="H149" i="2"/>
  <c r="G149" i="2"/>
  <c r="F149" i="2"/>
  <c r="E149" i="2"/>
  <c r="N148" i="2"/>
  <c r="M148" i="2"/>
  <c r="L148" i="2"/>
  <c r="K148" i="2"/>
  <c r="J148" i="2"/>
  <c r="H148" i="2"/>
  <c r="I148" i="2" s="1"/>
  <c r="G148" i="2"/>
  <c r="F148" i="2"/>
  <c r="E148" i="2"/>
  <c r="N147" i="2"/>
  <c r="M147" i="2"/>
  <c r="L147" i="2"/>
  <c r="K147" i="2"/>
  <c r="J147" i="2"/>
  <c r="I147" i="2"/>
  <c r="H147" i="2"/>
  <c r="G147" i="2"/>
  <c r="F147" i="2"/>
  <c r="E147" i="2"/>
  <c r="N146" i="2"/>
  <c r="M146" i="2"/>
  <c r="L146" i="2"/>
  <c r="K146" i="2"/>
  <c r="J146" i="2"/>
  <c r="H146" i="2"/>
  <c r="I146" i="2" s="1"/>
  <c r="G146" i="2"/>
  <c r="F146" i="2"/>
  <c r="E146" i="2"/>
  <c r="N145" i="2"/>
  <c r="M145" i="2"/>
  <c r="L145" i="2"/>
  <c r="K145" i="2"/>
  <c r="J145" i="2"/>
  <c r="H145" i="2"/>
  <c r="I145" i="2" s="1"/>
  <c r="G145" i="2"/>
  <c r="F145" i="2"/>
  <c r="E145" i="2"/>
  <c r="N144" i="2"/>
  <c r="M144" i="2"/>
  <c r="L144" i="2"/>
  <c r="K144" i="2"/>
  <c r="J144" i="2"/>
  <c r="I144" i="2"/>
  <c r="H144" i="2"/>
  <c r="G144" i="2"/>
  <c r="F144" i="2"/>
  <c r="E144" i="2"/>
  <c r="N143" i="2"/>
  <c r="M143" i="2"/>
  <c r="L143" i="2"/>
  <c r="K143" i="2"/>
  <c r="J143" i="2"/>
  <c r="H143" i="2"/>
  <c r="I143" i="2" s="1"/>
  <c r="G143" i="2"/>
  <c r="F143" i="2"/>
  <c r="E143" i="2"/>
  <c r="N142" i="2"/>
  <c r="M142" i="2"/>
  <c r="L142" i="2"/>
  <c r="K142" i="2"/>
  <c r="J142" i="2"/>
  <c r="I142" i="2"/>
  <c r="H142" i="2"/>
  <c r="G142" i="2"/>
  <c r="F142" i="2"/>
  <c r="E142" i="2"/>
  <c r="N141" i="2"/>
  <c r="M141" i="2"/>
  <c r="L141" i="2"/>
  <c r="K141" i="2"/>
  <c r="J141" i="2"/>
  <c r="H141" i="2"/>
  <c r="I141" i="2" s="1"/>
  <c r="G141" i="2"/>
  <c r="F141" i="2"/>
  <c r="E141" i="2"/>
  <c r="N140" i="2"/>
  <c r="M140" i="2"/>
  <c r="L140" i="2"/>
  <c r="K140" i="2"/>
  <c r="J140" i="2"/>
  <c r="I140" i="2"/>
  <c r="H140" i="2"/>
  <c r="G140" i="2"/>
  <c r="F140" i="2"/>
  <c r="E140" i="2"/>
  <c r="N139" i="2"/>
  <c r="M139" i="2"/>
  <c r="L139" i="2"/>
  <c r="K139" i="2"/>
  <c r="J139" i="2"/>
  <c r="H139" i="2"/>
  <c r="I139" i="2" s="1"/>
  <c r="G139" i="2"/>
  <c r="F139" i="2"/>
  <c r="E139" i="2"/>
  <c r="N138" i="2"/>
  <c r="M138" i="2"/>
  <c r="L138" i="2"/>
  <c r="K138" i="2"/>
  <c r="J138" i="2"/>
  <c r="H138" i="2"/>
  <c r="I138" i="2" s="1"/>
  <c r="G138" i="2"/>
  <c r="F138" i="2"/>
  <c r="E138" i="2"/>
  <c r="N137" i="2"/>
  <c r="M137" i="2"/>
  <c r="L137" i="2"/>
  <c r="K137" i="2"/>
  <c r="J137" i="2"/>
  <c r="I137" i="2"/>
  <c r="H137" i="2"/>
  <c r="G137" i="2"/>
  <c r="F137" i="2"/>
  <c r="E137" i="2"/>
  <c r="N136" i="2"/>
  <c r="M136" i="2"/>
  <c r="L136" i="2"/>
  <c r="K136" i="2"/>
  <c r="J136" i="2"/>
  <c r="H136" i="2"/>
  <c r="I136" i="2" s="1"/>
  <c r="G136" i="2"/>
  <c r="F136" i="2"/>
  <c r="E136" i="2"/>
  <c r="N135" i="2"/>
  <c r="M135" i="2"/>
  <c r="L135" i="2"/>
  <c r="K135" i="2"/>
  <c r="J135" i="2"/>
  <c r="I135" i="2"/>
  <c r="H135" i="2"/>
  <c r="G135" i="2"/>
  <c r="F135" i="2"/>
  <c r="E135" i="2"/>
  <c r="N134" i="2"/>
  <c r="M134" i="2"/>
  <c r="L134" i="2"/>
  <c r="K134" i="2"/>
  <c r="J134" i="2"/>
  <c r="H134" i="2"/>
  <c r="I134" i="2" s="1"/>
  <c r="G134" i="2"/>
  <c r="F134" i="2"/>
  <c r="E134" i="2"/>
  <c r="N133" i="2"/>
  <c r="M133" i="2"/>
  <c r="L133" i="2"/>
  <c r="K133" i="2"/>
  <c r="J133" i="2"/>
  <c r="I133" i="2"/>
  <c r="H133" i="2"/>
  <c r="G133" i="2"/>
  <c r="F133" i="2"/>
  <c r="E133" i="2"/>
  <c r="N132" i="2"/>
  <c r="M132" i="2"/>
  <c r="L132" i="2"/>
  <c r="K132" i="2"/>
  <c r="J132" i="2"/>
  <c r="H132" i="2"/>
  <c r="I132" i="2" s="1"/>
  <c r="G132" i="2"/>
  <c r="F132" i="2"/>
  <c r="E132" i="2"/>
  <c r="N131" i="2"/>
  <c r="M131" i="2"/>
  <c r="L131" i="2"/>
  <c r="K131" i="2"/>
  <c r="J131" i="2"/>
  <c r="H131" i="2"/>
  <c r="I131" i="2" s="1"/>
  <c r="G131" i="2"/>
  <c r="F131" i="2"/>
  <c r="E131" i="2"/>
  <c r="N130" i="2"/>
  <c r="M130" i="2"/>
  <c r="L130" i="2"/>
  <c r="K130" i="2"/>
  <c r="J130" i="2"/>
  <c r="I130" i="2"/>
  <c r="H130" i="2"/>
  <c r="G130" i="2"/>
  <c r="F130" i="2"/>
  <c r="E130" i="2"/>
  <c r="N129" i="2"/>
  <c r="M129" i="2"/>
  <c r="L129" i="2"/>
  <c r="K129" i="2"/>
  <c r="J129" i="2"/>
  <c r="H129" i="2"/>
  <c r="I129" i="2" s="1"/>
  <c r="G129" i="2"/>
  <c r="F129" i="2"/>
  <c r="E129" i="2"/>
  <c r="N128" i="2"/>
  <c r="M128" i="2"/>
  <c r="L128" i="2"/>
  <c r="K128" i="2"/>
  <c r="J128" i="2"/>
  <c r="I128" i="2"/>
  <c r="H128" i="2"/>
  <c r="G128" i="2"/>
  <c r="F128" i="2"/>
  <c r="E128" i="2"/>
  <c r="N127" i="2"/>
  <c r="M127" i="2"/>
  <c r="L127" i="2"/>
  <c r="K127" i="2"/>
  <c r="J127" i="2"/>
  <c r="H127" i="2"/>
  <c r="I127" i="2" s="1"/>
  <c r="G127" i="2"/>
  <c r="F127" i="2"/>
  <c r="E127" i="2"/>
  <c r="N126" i="2"/>
  <c r="M126" i="2"/>
  <c r="L126" i="2"/>
  <c r="K126" i="2"/>
  <c r="J126" i="2"/>
  <c r="I126" i="2"/>
  <c r="H126" i="2"/>
  <c r="G126" i="2"/>
  <c r="F126" i="2"/>
  <c r="E126" i="2"/>
  <c r="N125" i="2"/>
  <c r="M125" i="2"/>
  <c r="L125" i="2"/>
  <c r="K125" i="2"/>
  <c r="J125" i="2"/>
  <c r="H125" i="2"/>
  <c r="I125" i="2" s="1"/>
  <c r="G125" i="2"/>
  <c r="F125" i="2"/>
  <c r="E125" i="2"/>
  <c r="N124" i="2"/>
  <c r="M124" i="2"/>
  <c r="L124" i="2"/>
  <c r="K124" i="2"/>
  <c r="J124" i="2"/>
  <c r="H124" i="2"/>
  <c r="I124" i="2" s="1"/>
  <c r="G124" i="2"/>
  <c r="F124" i="2"/>
  <c r="E124" i="2"/>
  <c r="N123" i="2"/>
  <c r="M123" i="2"/>
  <c r="L123" i="2"/>
  <c r="K123" i="2"/>
  <c r="J123" i="2"/>
  <c r="I123" i="2"/>
  <c r="H123" i="2"/>
  <c r="G123" i="2"/>
  <c r="F123" i="2"/>
  <c r="E123" i="2"/>
  <c r="N122" i="2"/>
  <c r="M122" i="2"/>
  <c r="L122" i="2"/>
  <c r="K122" i="2"/>
  <c r="J122" i="2"/>
  <c r="H122" i="2"/>
  <c r="I122" i="2" s="1"/>
  <c r="G122" i="2"/>
  <c r="F122" i="2"/>
  <c r="E122" i="2"/>
  <c r="N121" i="2"/>
  <c r="M121" i="2"/>
  <c r="L121" i="2"/>
  <c r="K121" i="2"/>
  <c r="J121" i="2"/>
  <c r="I121" i="2"/>
  <c r="H121" i="2"/>
  <c r="G121" i="2"/>
  <c r="F121" i="2"/>
  <c r="E121" i="2"/>
  <c r="N120" i="2"/>
  <c r="M120" i="2"/>
  <c r="L120" i="2"/>
  <c r="K120" i="2"/>
  <c r="J120" i="2"/>
  <c r="H120" i="2"/>
  <c r="I120" i="2" s="1"/>
  <c r="G120" i="2"/>
  <c r="F120" i="2"/>
  <c r="E120" i="2"/>
  <c r="N119" i="2"/>
  <c r="M119" i="2"/>
  <c r="L119" i="2"/>
  <c r="K119" i="2"/>
  <c r="J119" i="2"/>
  <c r="I119" i="2"/>
  <c r="H119" i="2"/>
  <c r="G119" i="2"/>
  <c r="F119" i="2"/>
  <c r="E119" i="2"/>
  <c r="N118" i="2"/>
  <c r="M118" i="2"/>
  <c r="L118" i="2"/>
  <c r="K118" i="2"/>
  <c r="J118" i="2"/>
  <c r="H118" i="2"/>
  <c r="I118" i="2" s="1"/>
  <c r="G118" i="2"/>
  <c r="F118" i="2"/>
  <c r="E118" i="2"/>
  <c r="N117" i="2"/>
  <c r="M117" i="2"/>
  <c r="L117" i="2"/>
  <c r="K117" i="2"/>
  <c r="J117" i="2"/>
  <c r="H117" i="2"/>
  <c r="I117" i="2" s="1"/>
  <c r="G117" i="2"/>
  <c r="F117" i="2"/>
  <c r="E117" i="2"/>
  <c r="N116" i="2"/>
  <c r="M116" i="2"/>
  <c r="L116" i="2"/>
  <c r="K116" i="2"/>
  <c r="J116" i="2"/>
  <c r="I116" i="2"/>
  <c r="H116" i="2"/>
  <c r="G116" i="2"/>
  <c r="F116" i="2"/>
  <c r="E116" i="2"/>
  <c r="N115" i="2"/>
  <c r="M115" i="2"/>
  <c r="L115" i="2"/>
  <c r="K115" i="2"/>
  <c r="J115" i="2"/>
  <c r="H115" i="2"/>
  <c r="I115" i="2" s="1"/>
  <c r="G115" i="2"/>
  <c r="F115" i="2"/>
  <c r="E115" i="2"/>
  <c r="N114" i="2"/>
  <c r="M114" i="2"/>
  <c r="L114" i="2"/>
  <c r="K114" i="2"/>
  <c r="J114" i="2"/>
  <c r="I114" i="2"/>
  <c r="H114" i="2"/>
  <c r="G114" i="2"/>
  <c r="F114" i="2"/>
  <c r="E114" i="2"/>
  <c r="N113" i="2"/>
  <c r="M113" i="2"/>
  <c r="L113" i="2"/>
  <c r="K113" i="2"/>
  <c r="J113" i="2"/>
  <c r="H113" i="2"/>
  <c r="I113" i="2" s="1"/>
  <c r="G113" i="2"/>
  <c r="F113" i="2"/>
  <c r="E113" i="2"/>
  <c r="N112" i="2"/>
  <c r="M112" i="2"/>
  <c r="L112" i="2"/>
  <c r="K112" i="2"/>
  <c r="J112" i="2"/>
  <c r="I112" i="2"/>
  <c r="H112" i="2"/>
  <c r="G112" i="2"/>
  <c r="F112" i="2"/>
  <c r="E112" i="2"/>
  <c r="N111" i="2"/>
  <c r="M111" i="2"/>
  <c r="L111" i="2"/>
  <c r="K111" i="2"/>
  <c r="J111" i="2"/>
  <c r="H111" i="2"/>
  <c r="I111" i="2" s="1"/>
  <c r="G111" i="2"/>
  <c r="F111" i="2"/>
  <c r="E111" i="2"/>
  <c r="N110" i="2"/>
  <c r="M110" i="2"/>
  <c r="L110" i="2"/>
  <c r="K110" i="2"/>
  <c r="J110" i="2"/>
  <c r="H110" i="2"/>
  <c r="I110" i="2" s="1"/>
  <c r="G110" i="2"/>
  <c r="F110" i="2"/>
  <c r="E110" i="2"/>
  <c r="N109" i="2"/>
  <c r="M109" i="2"/>
  <c r="L109" i="2"/>
  <c r="K109" i="2"/>
  <c r="J109" i="2"/>
  <c r="I109" i="2"/>
  <c r="H109" i="2"/>
  <c r="G109" i="2"/>
  <c r="F109" i="2"/>
  <c r="E109" i="2"/>
  <c r="N108" i="2"/>
  <c r="M108" i="2"/>
  <c r="L108" i="2"/>
  <c r="K108" i="2"/>
  <c r="J108" i="2"/>
  <c r="H108" i="2"/>
  <c r="I108" i="2" s="1"/>
  <c r="G108" i="2"/>
  <c r="F108" i="2"/>
  <c r="E108" i="2"/>
  <c r="N107" i="2"/>
  <c r="M107" i="2"/>
  <c r="L107" i="2"/>
  <c r="K107" i="2"/>
  <c r="J107" i="2"/>
  <c r="I107" i="2"/>
  <c r="H107" i="2"/>
  <c r="G107" i="2"/>
  <c r="F107" i="2"/>
  <c r="E107" i="2"/>
  <c r="N106" i="2"/>
  <c r="M106" i="2"/>
  <c r="L106" i="2"/>
  <c r="K106" i="2"/>
  <c r="J106" i="2"/>
  <c r="H106" i="2"/>
  <c r="I106" i="2" s="1"/>
  <c r="G106" i="2"/>
  <c r="F106" i="2"/>
  <c r="E106" i="2"/>
  <c r="N105" i="2"/>
  <c r="M105" i="2"/>
  <c r="L105" i="2"/>
  <c r="K105" i="2"/>
  <c r="J105" i="2"/>
  <c r="I105" i="2"/>
  <c r="H105" i="2"/>
  <c r="G105" i="2"/>
  <c r="F105" i="2"/>
  <c r="E105" i="2"/>
  <c r="N104" i="2"/>
  <c r="M104" i="2"/>
  <c r="L104" i="2"/>
  <c r="K104" i="2"/>
  <c r="J104" i="2"/>
  <c r="H104" i="2"/>
  <c r="I104" i="2" s="1"/>
  <c r="G104" i="2"/>
  <c r="F104" i="2"/>
  <c r="E104" i="2"/>
  <c r="N103" i="2"/>
  <c r="M103" i="2"/>
  <c r="L103" i="2"/>
  <c r="K103" i="2"/>
  <c r="J103" i="2"/>
  <c r="H103" i="2"/>
  <c r="I103" i="2" s="1"/>
  <c r="G103" i="2"/>
  <c r="F103" i="2"/>
  <c r="E103" i="2"/>
  <c r="N102" i="2"/>
  <c r="M102" i="2"/>
  <c r="L102" i="2"/>
  <c r="K102" i="2"/>
  <c r="J102" i="2"/>
  <c r="I102" i="2"/>
  <c r="H102" i="2"/>
  <c r="G102" i="2"/>
  <c r="F102" i="2"/>
  <c r="E102" i="2"/>
  <c r="N101" i="2"/>
  <c r="M101" i="2"/>
  <c r="L101" i="2"/>
  <c r="K101" i="2"/>
  <c r="J101" i="2"/>
  <c r="H101" i="2"/>
  <c r="I101" i="2" s="1"/>
  <c r="G101" i="2"/>
  <c r="F101" i="2"/>
  <c r="E101" i="2"/>
  <c r="N100" i="2"/>
  <c r="M100" i="2"/>
  <c r="L100" i="2"/>
  <c r="K100" i="2"/>
  <c r="J100" i="2"/>
  <c r="I100" i="2"/>
  <c r="H100" i="2"/>
  <c r="G100" i="2"/>
  <c r="F100" i="2"/>
  <c r="E100" i="2"/>
  <c r="N99" i="2"/>
  <c r="M99" i="2"/>
  <c r="L99" i="2"/>
  <c r="K99" i="2"/>
  <c r="J99" i="2"/>
  <c r="H99" i="2"/>
  <c r="I99" i="2" s="1"/>
  <c r="G99" i="2"/>
  <c r="F99" i="2"/>
  <c r="E99" i="2"/>
  <c r="N98" i="2"/>
  <c r="M98" i="2"/>
  <c r="L98" i="2"/>
  <c r="K98" i="2"/>
  <c r="J98" i="2"/>
  <c r="I98" i="2"/>
  <c r="H98" i="2"/>
  <c r="G98" i="2"/>
  <c r="F98" i="2"/>
  <c r="E98" i="2"/>
  <c r="N97" i="2"/>
  <c r="M97" i="2"/>
  <c r="L97" i="2"/>
  <c r="K97" i="2"/>
  <c r="J97" i="2"/>
  <c r="H97" i="2"/>
  <c r="I97" i="2" s="1"/>
  <c r="G97" i="2"/>
  <c r="F97" i="2"/>
  <c r="E97" i="2"/>
  <c r="N96" i="2"/>
  <c r="M96" i="2"/>
  <c r="L96" i="2"/>
  <c r="K96" i="2"/>
  <c r="J96" i="2"/>
  <c r="H96" i="2"/>
  <c r="I96" i="2" s="1"/>
  <c r="G96" i="2"/>
  <c r="F96" i="2"/>
  <c r="E96" i="2"/>
  <c r="N95" i="2"/>
  <c r="M95" i="2"/>
  <c r="L95" i="2"/>
  <c r="K95" i="2"/>
  <c r="J95" i="2"/>
  <c r="I95" i="2"/>
  <c r="H95" i="2"/>
  <c r="G95" i="2"/>
  <c r="F95" i="2"/>
  <c r="E95" i="2"/>
  <c r="N94" i="2"/>
  <c r="M94" i="2"/>
  <c r="L94" i="2"/>
  <c r="K94" i="2"/>
  <c r="J94" i="2"/>
  <c r="H94" i="2"/>
  <c r="I94" i="2" s="1"/>
  <c r="G94" i="2"/>
  <c r="F94" i="2"/>
  <c r="E94" i="2"/>
  <c r="N93" i="2"/>
  <c r="M93" i="2"/>
  <c r="L93" i="2"/>
  <c r="K93" i="2"/>
  <c r="J93" i="2"/>
  <c r="I93" i="2"/>
  <c r="H93" i="2"/>
  <c r="G93" i="2"/>
  <c r="F93" i="2"/>
  <c r="E93" i="2"/>
  <c r="N92" i="2"/>
  <c r="M92" i="2"/>
  <c r="L92" i="2"/>
  <c r="K92" i="2"/>
  <c r="J92" i="2"/>
  <c r="H92" i="2"/>
  <c r="I92" i="2" s="1"/>
  <c r="G92" i="2"/>
  <c r="F92" i="2"/>
  <c r="E92" i="2"/>
  <c r="N91" i="2"/>
  <c r="M91" i="2"/>
  <c r="L91" i="2"/>
  <c r="K91" i="2"/>
  <c r="J91" i="2"/>
  <c r="I91" i="2"/>
  <c r="H91" i="2"/>
  <c r="G91" i="2"/>
  <c r="F91" i="2"/>
  <c r="E91" i="2"/>
  <c r="N90" i="2"/>
  <c r="M90" i="2"/>
  <c r="L90" i="2"/>
  <c r="K90" i="2"/>
  <c r="J90" i="2"/>
  <c r="H90" i="2"/>
  <c r="I90" i="2" s="1"/>
  <c r="G90" i="2"/>
  <c r="F90" i="2"/>
  <c r="E90" i="2"/>
  <c r="N89" i="2"/>
  <c r="M89" i="2"/>
  <c r="L89" i="2"/>
  <c r="K89" i="2"/>
  <c r="J89" i="2"/>
  <c r="H89" i="2"/>
  <c r="I89" i="2" s="1"/>
  <c r="G89" i="2"/>
  <c r="F89" i="2"/>
  <c r="E89" i="2"/>
  <c r="N88" i="2"/>
  <c r="M88" i="2"/>
  <c r="L88" i="2"/>
  <c r="K88" i="2"/>
  <c r="J88" i="2"/>
  <c r="I88" i="2"/>
  <c r="H88" i="2"/>
  <c r="G88" i="2"/>
  <c r="F88" i="2"/>
  <c r="E88" i="2"/>
  <c r="N87" i="2"/>
  <c r="M87" i="2"/>
  <c r="L87" i="2"/>
  <c r="K87" i="2"/>
  <c r="J87" i="2"/>
  <c r="H87" i="2"/>
  <c r="I87" i="2" s="1"/>
  <c r="G87" i="2"/>
  <c r="F87" i="2"/>
  <c r="E87" i="2"/>
  <c r="N86" i="2"/>
  <c r="M86" i="2"/>
  <c r="L86" i="2"/>
  <c r="K86" i="2"/>
  <c r="J86" i="2"/>
  <c r="I86" i="2"/>
  <c r="H86" i="2"/>
  <c r="G86" i="2"/>
  <c r="F86" i="2"/>
  <c r="E86" i="2"/>
  <c r="N85" i="2"/>
  <c r="M85" i="2"/>
  <c r="L85" i="2"/>
  <c r="K85" i="2"/>
  <c r="J85" i="2"/>
  <c r="H85" i="2"/>
  <c r="I85" i="2" s="1"/>
  <c r="G85" i="2"/>
  <c r="F85" i="2"/>
  <c r="E85" i="2"/>
  <c r="N84" i="2"/>
  <c r="M84" i="2"/>
  <c r="L84" i="2"/>
  <c r="K84" i="2"/>
  <c r="J84" i="2"/>
  <c r="I84" i="2"/>
  <c r="H84" i="2"/>
  <c r="G84" i="2"/>
  <c r="F84" i="2"/>
  <c r="E84" i="2"/>
  <c r="N83" i="2"/>
  <c r="M83" i="2"/>
  <c r="L83" i="2"/>
  <c r="K83" i="2"/>
  <c r="J83" i="2"/>
  <c r="H83" i="2"/>
  <c r="I83" i="2" s="1"/>
  <c r="G83" i="2"/>
  <c r="F83" i="2"/>
  <c r="E83" i="2"/>
  <c r="N82" i="2"/>
  <c r="M82" i="2"/>
  <c r="L82" i="2"/>
  <c r="K82" i="2"/>
  <c r="J82" i="2"/>
  <c r="H82" i="2"/>
  <c r="I82" i="2" s="1"/>
  <c r="G82" i="2"/>
  <c r="F82" i="2"/>
  <c r="E82" i="2"/>
  <c r="N81" i="2"/>
  <c r="M81" i="2"/>
  <c r="L81" i="2"/>
  <c r="K81" i="2"/>
  <c r="J81" i="2"/>
  <c r="I81" i="2"/>
  <c r="H81" i="2"/>
  <c r="G81" i="2"/>
  <c r="F81" i="2"/>
  <c r="E81" i="2"/>
  <c r="N80" i="2"/>
  <c r="M80" i="2"/>
  <c r="L80" i="2"/>
  <c r="K80" i="2"/>
  <c r="J80" i="2"/>
  <c r="H80" i="2"/>
  <c r="I80" i="2" s="1"/>
  <c r="G80" i="2"/>
  <c r="F80" i="2"/>
  <c r="E80" i="2"/>
  <c r="N79" i="2"/>
  <c r="M79" i="2"/>
  <c r="L79" i="2"/>
  <c r="K79" i="2"/>
  <c r="J79" i="2"/>
  <c r="I79" i="2"/>
  <c r="H79" i="2"/>
  <c r="G79" i="2"/>
  <c r="F79" i="2"/>
  <c r="E79" i="2"/>
  <c r="N78" i="2"/>
  <c r="M78" i="2"/>
  <c r="L78" i="2"/>
  <c r="K78" i="2"/>
  <c r="J78" i="2"/>
  <c r="H78" i="2"/>
  <c r="I78" i="2" s="1"/>
  <c r="G78" i="2"/>
  <c r="F78" i="2"/>
  <c r="E78" i="2"/>
  <c r="N77" i="2"/>
  <c r="M77" i="2"/>
  <c r="L77" i="2"/>
  <c r="K77" i="2"/>
  <c r="J77" i="2"/>
  <c r="I77" i="2"/>
  <c r="H77" i="2"/>
  <c r="G77" i="2"/>
  <c r="F77" i="2"/>
  <c r="E77" i="2"/>
  <c r="N76" i="2"/>
  <c r="M76" i="2"/>
  <c r="L76" i="2"/>
  <c r="K76" i="2"/>
  <c r="J76" i="2"/>
  <c r="H76" i="2"/>
  <c r="I76" i="2" s="1"/>
  <c r="G76" i="2"/>
  <c r="F76" i="2"/>
  <c r="E76" i="2"/>
  <c r="N75" i="2"/>
  <c r="M75" i="2"/>
  <c r="L75" i="2"/>
  <c r="K75" i="2"/>
  <c r="J75" i="2"/>
  <c r="H75" i="2"/>
  <c r="I75" i="2" s="1"/>
  <c r="G75" i="2"/>
  <c r="F75" i="2"/>
  <c r="E75" i="2"/>
  <c r="N74" i="2"/>
  <c r="M74" i="2"/>
  <c r="L74" i="2"/>
  <c r="K74" i="2"/>
  <c r="J74" i="2"/>
  <c r="I74" i="2"/>
  <c r="H74" i="2"/>
  <c r="G74" i="2"/>
  <c r="F74" i="2"/>
  <c r="E74" i="2"/>
  <c r="N73" i="2"/>
  <c r="M73" i="2"/>
  <c r="L73" i="2"/>
  <c r="K73" i="2"/>
  <c r="J73" i="2"/>
  <c r="H73" i="2"/>
  <c r="I73" i="2" s="1"/>
  <c r="G73" i="2"/>
  <c r="F73" i="2"/>
  <c r="E73" i="2"/>
  <c r="N72" i="2"/>
  <c r="M72" i="2"/>
  <c r="L72" i="2"/>
  <c r="K72" i="2"/>
  <c r="J72" i="2"/>
  <c r="I72" i="2"/>
  <c r="H72" i="2"/>
  <c r="G72" i="2"/>
  <c r="F72" i="2"/>
  <c r="E72" i="2"/>
  <c r="N71" i="2"/>
  <c r="M71" i="2"/>
  <c r="L71" i="2"/>
  <c r="K71" i="2"/>
  <c r="J71" i="2"/>
  <c r="H71" i="2"/>
  <c r="I71" i="2" s="1"/>
  <c r="G71" i="2"/>
  <c r="F71" i="2"/>
  <c r="E71" i="2"/>
  <c r="N70" i="2"/>
  <c r="M70" i="2"/>
  <c r="L70" i="2"/>
  <c r="K70" i="2"/>
  <c r="J70" i="2"/>
  <c r="I70" i="2"/>
  <c r="H70" i="2"/>
  <c r="G70" i="2"/>
  <c r="F70" i="2"/>
  <c r="E70" i="2"/>
  <c r="N69" i="2"/>
  <c r="M69" i="2"/>
  <c r="L69" i="2"/>
  <c r="K69" i="2"/>
  <c r="J69" i="2"/>
  <c r="H69" i="2"/>
  <c r="I69" i="2" s="1"/>
  <c r="G69" i="2"/>
  <c r="F69" i="2"/>
  <c r="E69" i="2"/>
  <c r="N68" i="2"/>
  <c r="M68" i="2"/>
  <c r="L68" i="2"/>
  <c r="K68" i="2"/>
  <c r="J68" i="2"/>
  <c r="H68" i="2"/>
  <c r="I68" i="2" s="1"/>
  <c r="G68" i="2"/>
  <c r="F68" i="2"/>
  <c r="E68" i="2"/>
  <c r="N67" i="2"/>
  <c r="M67" i="2"/>
  <c r="L67" i="2"/>
  <c r="K67" i="2"/>
  <c r="J67" i="2"/>
  <c r="I67" i="2"/>
  <c r="H67" i="2"/>
  <c r="G67" i="2"/>
  <c r="F67" i="2"/>
  <c r="E67" i="2"/>
  <c r="N66" i="2"/>
  <c r="M66" i="2"/>
  <c r="L66" i="2"/>
  <c r="K66" i="2"/>
  <c r="J66" i="2"/>
  <c r="H66" i="2"/>
  <c r="I66" i="2" s="1"/>
  <c r="G66" i="2"/>
  <c r="F66" i="2"/>
  <c r="E66" i="2"/>
  <c r="N65" i="2"/>
  <c r="M65" i="2"/>
  <c r="L65" i="2"/>
  <c r="K65" i="2"/>
  <c r="J65" i="2"/>
  <c r="I65" i="2"/>
  <c r="H65" i="2"/>
  <c r="G65" i="2"/>
  <c r="F65" i="2"/>
  <c r="E65" i="2"/>
  <c r="N64" i="2"/>
  <c r="M64" i="2"/>
  <c r="L64" i="2"/>
  <c r="K64" i="2"/>
  <c r="J64" i="2"/>
  <c r="H64" i="2"/>
  <c r="I64" i="2" s="1"/>
  <c r="G64" i="2"/>
  <c r="F64" i="2"/>
  <c r="E64" i="2"/>
  <c r="N63" i="2"/>
  <c r="M63" i="2"/>
  <c r="L63" i="2"/>
  <c r="K63" i="2"/>
  <c r="J63" i="2"/>
  <c r="I63" i="2"/>
  <c r="H63" i="2"/>
  <c r="G63" i="2"/>
  <c r="F63" i="2"/>
  <c r="E63" i="2"/>
  <c r="N62" i="2"/>
  <c r="M62" i="2"/>
  <c r="L62" i="2"/>
  <c r="K62" i="2"/>
  <c r="J62" i="2"/>
  <c r="H62" i="2"/>
  <c r="I62" i="2" s="1"/>
  <c r="G62" i="2"/>
  <c r="F62" i="2"/>
  <c r="E62" i="2"/>
  <c r="N61" i="2"/>
  <c r="M61" i="2"/>
  <c r="L61" i="2"/>
  <c r="K61" i="2"/>
  <c r="J61" i="2"/>
  <c r="H61" i="2"/>
  <c r="I61" i="2" s="1"/>
  <c r="G61" i="2"/>
  <c r="F61" i="2"/>
  <c r="E61" i="2"/>
  <c r="N60" i="2"/>
  <c r="M60" i="2"/>
  <c r="L60" i="2"/>
  <c r="K60" i="2"/>
  <c r="J60" i="2"/>
  <c r="I60" i="2"/>
  <c r="H60" i="2"/>
  <c r="G60" i="2"/>
  <c r="F60" i="2"/>
  <c r="E60" i="2"/>
  <c r="N59" i="2"/>
  <c r="M59" i="2"/>
  <c r="L59" i="2"/>
  <c r="K59" i="2"/>
  <c r="J59" i="2"/>
  <c r="H59" i="2"/>
  <c r="I59" i="2" s="1"/>
  <c r="G59" i="2"/>
  <c r="F59" i="2"/>
  <c r="E59" i="2"/>
  <c r="N58" i="2"/>
  <c r="M58" i="2"/>
  <c r="L58" i="2"/>
  <c r="K58" i="2"/>
  <c r="J58" i="2"/>
  <c r="I58" i="2"/>
  <c r="H58" i="2"/>
  <c r="G58" i="2"/>
  <c r="F58" i="2"/>
  <c r="E58" i="2"/>
  <c r="N57" i="2"/>
  <c r="M57" i="2"/>
  <c r="L57" i="2"/>
  <c r="K57" i="2"/>
  <c r="J57" i="2"/>
  <c r="H57" i="2"/>
  <c r="I57" i="2" s="1"/>
  <c r="G57" i="2"/>
  <c r="F57" i="2"/>
  <c r="E57" i="2"/>
  <c r="N56" i="2"/>
  <c r="M56" i="2"/>
  <c r="L56" i="2"/>
  <c r="K56" i="2"/>
  <c r="J56" i="2"/>
  <c r="I56" i="2"/>
  <c r="H56" i="2"/>
  <c r="G56" i="2"/>
  <c r="F56" i="2"/>
  <c r="E56" i="2"/>
  <c r="N55" i="2"/>
  <c r="M55" i="2"/>
  <c r="L55" i="2"/>
  <c r="K55" i="2"/>
  <c r="J55" i="2"/>
  <c r="H55" i="2"/>
  <c r="I55" i="2" s="1"/>
  <c r="G55" i="2"/>
  <c r="F55" i="2"/>
  <c r="E55" i="2"/>
  <c r="N54" i="2"/>
  <c r="M54" i="2"/>
  <c r="L54" i="2"/>
  <c r="K54" i="2"/>
  <c r="J54" i="2"/>
  <c r="H54" i="2"/>
  <c r="I54" i="2" s="1"/>
  <c r="G54" i="2"/>
  <c r="F54" i="2"/>
  <c r="E54" i="2"/>
  <c r="N53" i="2"/>
  <c r="M53" i="2"/>
  <c r="L53" i="2"/>
  <c r="K53" i="2"/>
  <c r="J53" i="2"/>
  <c r="I53" i="2"/>
  <c r="H53" i="2"/>
  <c r="G53" i="2"/>
  <c r="F53" i="2"/>
  <c r="E53" i="2"/>
  <c r="N52" i="2"/>
  <c r="M52" i="2"/>
  <c r="L52" i="2"/>
  <c r="K52" i="2"/>
  <c r="J52" i="2"/>
  <c r="H52" i="2"/>
  <c r="I52" i="2" s="1"/>
  <c r="G52" i="2"/>
  <c r="F52" i="2"/>
  <c r="E52" i="2"/>
  <c r="N51" i="2"/>
  <c r="M51" i="2"/>
  <c r="L51" i="2"/>
  <c r="K51" i="2"/>
  <c r="J51" i="2"/>
  <c r="I51" i="2"/>
  <c r="H51" i="2"/>
  <c r="G51" i="2"/>
  <c r="F51" i="2"/>
  <c r="E51" i="2"/>
  <c r="N50" i="2"/>
  <c r="M50" i="2"/>
  <c r="L50" i="2"/>
  <c r="K50" i="2"/>
  <c r="J50" i="2"/>
  <c r="H50" i="2"/>
  <c r="I50" i="2" s="1"/>
  <c r="G50" i="2"/>
  <c r="F50" i="2"/>
  <c r="E50" i="2"/>
  <c r="N49" i="2"/>
  <c r="M49" i="2"/>
  <c r="L49" i="2"/>
  <c r="K49" i="2"/>
  <c r="J49" i="2"/>
  <c r="I49" i="2"/>
  <c r="H49" i="2"/>
  <c r="G49" i="2"/>
  <c r="F49" i="2"/>
  <c r="E49" i="2"/>
  <c r="N48" i="2"/>
  <c r="M48" i="2"/>
  <c r="L48" i="2"/>
  <c r="K48" i="2"/>
  <c r="J48" i="2"/>
  <c r="H48" i="2"/>
  <c r="I48" i="2" s="1"/>
  <c r="G48" i="2"/>
  <c r="F48" i="2"/>
  <c r="E48" i="2"/>
  <c r="N47" i="2"/>
  <c r="M47" i="2"/>
  <c r="L47" i="2"/>
  <c r="K47" i="2"/>
  <c r="J47" i="2"/>
  <c r="H47" i="2"/>
  <c r="I47" i="2" s="1"/>
  <c r="G47" i="2"/>
  <c r="F47" i="2"/>
  <c r="E47" i="2"/>
  <c r="N46" i="2"/>
  <c r="M46" i="2"/>
  <c r="L46" i="2"/>
  <c r="K46" i="2"/>
  <c r="J46" i="2"/>
  <c r="I46" i="2"/>
  <c r="H46" i="2"/>
  <c r="G46" i="2"/>
  <c r="F46" i="2"/>
  <c r="E46" i="2"/>
  <c r="N45" i="2"/>
  <c r="M45" i="2"/>
  <c r="L45" i="2"/>
  <c r="K45" i="2"/>
  <c r="J45" i="2"/>
  <c r="H45" i="2"/>
  <c r="I45" i="2" s="1"/>
  <c r="G45" i="2"/>
  <c r="F45" i="2"/>
  <c r="E45" i="2"/>
  <c r="N44" i="2"/>
  <c r="M44" i="2"/>
  <c r="L44" i="2"/>
  <c r="K44" i="2"/>
  <c r="J44" i="2"/>
  <c r="I44" i="2"/>
  <c r="H44" i="2"/>
  <c r="G44" i="2"/>
  <c r="F44" i="2"/>
  <c r="E44" i="2"/>
  <c r="N43" i="2"/>
  <c r="M43" i="2"/>
  <c r="L43" i="2"/>
  <c r="K43" i="2"/>
  <c r="J43" i="2"/>
  <c r="H43" i="2"/>
  <c r="I43" i="2" s="1"/>
  <c r="G43" i="2"/>
  <c r="F43" i="2"/>
  <c r="E43" i="2"/>
  <c r="N42" i="2"/>
  <c r="M42" i="2"/>
  <c r="L42" i="2"/>
  <c r="K42" i="2"/>
  <c r="J42" i="2"/>
  <c r="I42" i="2"/>
  <c r="H42" i="2"/>
  <c r="G42" i="2"/>
  <c r="F42" i="2"/>
  <c r="E42" i="2"/>
  <c r="N41" i="2"/>
  <c r="M41" i="2"/>
  <c r="L41" i="2"/>
  <c r="K41" i="2"/>
  <c r="J41" i="2"/>
  <c r="H41" i="2"/>
  <c r="I41" i="2" s="1"/>
  <c r="G41" i="2"/>
  <c r="F41" i="2"/>
  <c r="E41" i="2"/>
  <c r="N40" i="2"/>
  <c r="M40" i="2"/>
  <c r="L40" i="2"/>
  <c r="K40" i="2"/>
  <c r="J40" i="2"/>
  <c r="H40" i="2"/>
  <c r="I40" i="2" s="1"/>
  <c r="G40" i="2"/>
  <c r="F40" i="2"/>
  <c r="E40" i="2"/>
  <c r="N39" i="2"/>
  <c r="M39" i="2"/>
  <c r="L39" i="2"/>
  <c r="K39" i="2"/>
  <c r="J39" i="2"/>
  <c r="I39" i="2"/>
  <c r="H39" i="2"/>
  <c r="G39" i="2"/>
  <c r="F39" i="2"/>
  <c r="E39" i="2"/>
  <c r="N38" i="2"/>
  <c r="M38" i="2"/>
  <c r="L38" i="2"/>
  <c r="K38" i="2"/>
  <c r="J38" i="2"/>
  <c r="H38" i="2"/>
  <c r="I38" i="2" s="1"/>
  <c r="G38" i="2"/>
  <c r="F38" i="2"/>
  <c r="E38" i="2"/>
  <c r="N37" i="2"/>
  <c r="M37" i="2"/>
  <c r="L37" i="2"/>
  <c r="K37" i="2"/>
  <c r="J37" i="2"/>
  <c r="I37" i="2"/>
  <c r="H37" i="2"/>
  <c r="G37" i="2"/>
  <c r="F37" i="2"/>
  <c r="E37" i="2"/>
  <c r="N36" i="2"/>
  <c r="M36" i="2"/>
  <c r="L36" i="2"/>
  <c r="K36" i="2"/>
  <c r="J36" i="2"/>
  <c r="H36" i="2"/>
  <c r="I36" i="2" s="1"/>
  <c r="G36" i="2"/>
  <c r="F36" i="2"/>
  <c r="E36" i="2"/>
  <c r="N35" i="2"/>
  <c r="M35" i="2"/>
  <c r="L35" i="2"/>
  <c r="K35" i="2"/>
  <c r="J35" i="2"/>
  <c r="I35" i="2"/>
  <c r="H35" i="2"/>
  <c r="G35" i="2"/>
  <c r="F35" i="2"/>
  <c r="E35" i="2"/>
  <c r="N34" i="2"/>
  <c r="M34" i="2"/>
  <c r="L34" i="2"/>
  <c r="K34" i="2"/>
  <c r="J34" i="2"/>
  <c r="H34" i="2"/>
  <c r="I34" i="2" s="1"/>
  <c r="G34" i="2"/>
  <c r="F34" i="2"/>
  <c r="E34" i="2"/>
  <c r="N33" i="2"/>
  <c r="M33" i="2"/>
  <c r="L33" i="2"/>
  <c r="K33" i="2"/>
  <c r="J33" i="2"/>
  <c r="H33" i="2"/>
  <c r="I33" i="2" s="1"/>
  <c r="G33" i="2"/>
  <c r="F33" i="2"/>
  <c r="E33" i="2"/>
  <c r="N32" i="2"/>
  <c r="M32" i="2"/>
  <c r="L32" i="2"/>
  <c r="K32" i="2"/>
  <c r="J32" i="2"/>
  <c r="I32" i="2"/>
  <c r="H32" i="2"/>
  <c r="G32" i="2"/>
  <c r="F32" i="2"/>
  <c r="E32" i="2"/>
  <c r="N31" i="2"/>
  <c r="M31" i="2"/>
  <c r="L31" i="2"/>
  <c r="K31" i="2"/>
  <c r="J31" i="2"/>
  <c r="H31" i="2"/>
  <c r="I31" i="2" s="1"/>
  <c r="G31" i="2"/>
  <c r="F31" i="2"/>
  <c r="E31" i="2"/>
  <c r="N30" i="2"/>
  <c r="M30" i="2"/>
  <c r="L30" i="2"/>
  <c r="K30" i="2"/>
  <c r="J30" i="2"/>
  <c r="I30" i="2"/>
  <c r="H30" i="2"/>
  <c r="G30" i="2"/>
  <c r="F30" i="2"/>
  <c r="E30" i="2"/>
  <c r="N29" i="2"/>
  <c r="M29" i="2"/>
  <c r="L29" i="2"/>
  <c r="K29" i="2"/>
  <c r="J29" i="2"/>
  <c r="H29" i="2"/>
  <c r="I29" i="2" s="1"/>
  <c r="G29" i="2"/>
  <c r="F29" i="2"/>
  <c r="E29" i="2"/>
  <c r="N28" i="2"/>
  <c r="M28" i="2"/>
  <c r="L28" i="2"/>
  <c r="K28" i="2"/>
  <c r="J28" i="2"/>
  <c r="I28" i="2"/>
  <c r="H28" i="2"/>
  <c r="G28" i="2"/>
  <c r="F28" i="2"/>
  <c r="E28" i="2"/>
  <c r="N27" i="2"/>
  <c r="M27" i="2"/>
  <c r="L27" i="2"/>
  <c r="K27" i="2"/>
  <c r="J27" i="2"/>
  <c r="H27" i="2"/>
  <c r="I27" i="2" s="1"/>
  <c r="G27" i="2"/>
  <c r="F27" i="2"/>
  <c r="E27" i="2"/>
  <c r="N26" i="2"/>
  <c r="M26" i="2"/>
  <c r="L26" i="2"/>
  <c r="K26" i="2"/>
  <c r="J26" i="2"/>
  <c r="H26" i="2"/>
  <c r="I26" i="2" s="1"/>
  <c r="G26" i="2"/>
  <c r="F26" i="2"/>
  <c r="E26" i="2"/>
  <c r="N25" i="2"/>
  <c r="M25" i="2"/>
  <c r="L25" i="2"/>
  <c r="K25" i="2"/>
  <c r="J25" i="2"/>
  <c r="I25" i="2"/>
  <c r="H25" i="2"/>
  <c r="G25" i="2"/>
  <c r="F25" i="2"/>
  <c r="E25" i="2"/>
  <c r="N24" i="2"/>
  <c r="M24" i="2"/>
  <c r="L24" i="2"/>
  <c r="K24" i="2"/>
  <c r="J24" i="2"/>
  <c r="H24" i="2"/>
  <c r="I24" i="2" s="1"/>
  <c r="G24" i="2"/>
  <c r="F24" i="2"/>
  <c r="E24" i="2"/>
  <c r="N23" i="2"/>
  <c r="M23" i="2"/>
  <c r="L23" i="2"/>
  <c r="K23" i="2"/>
  <c r="J23" i="2"/>
  <c r="I23" i="2"/>
  <c r="H23" i="2"/>
  <c r="G23" i="2"/>
  <c r="F23" i="2"/>
  <c r="E23" i="2"/>
  <c r="N22" i="2"/>
  <c r="M22" i="2"/>
  <c r="L22" i="2"/>
  <c r="K22" i="2"/>
  <c r="J22" i="2"/>
  <c r="H22" i="2"/>
  <c r="I22" i="2" s="1"/>
  <c r="G22" i="2"/>
  <c r="F22" i="2"/>
  <c r="E22" i="2"/>
  <c r="N21" i="2"/>
  <c r="M21" i="2"/>
  <c r="L21" i="2"/>
  <c r="K21" i="2"/>
  <c r="J21" i="2"/>
  <c r="I21" i="2"/>
  <c r="H21" i="2"/>
  <c r="G21" i="2"/>
  <c r="F21" i="2"/>
  <c r="E21" i="2"/>
  <c r="N20" i="2"/>
  <c r="M20" i="2"/>
  <c r="L20" i="2"/>
  <c r="K20" i="2"/>
  <c r="J20" i="2"/>
  <c r="H20" i="2"/>
  <c r="I20" i="2" s="1"/>
  <c r="G20" i="2"/>
  <c r="F20" i="2"/>
  <c r="E20" i="2"/>
  <c r="N19" i="2"/>
  <c r="M19" i="2"/>
  <c r="L19" i="2"/>
  <c r="K19" i="2"/>
  <c r="J19" i="2"/>
  <c r="H19" i="2"/>
  <c r="I19" i="2" s="1"/>
  <c r="G19" i="2"/>
  <c r="F19" i="2"/>
  <c r="E19" i="2"/>
  <c r="N18" i="2"/>
  <c r="M18" i="2"/>
  <c r="L18" i="2"/>
  <c r="K18" i="2"/>
  <c r="J18" i="2"/>
  <c r="I18" i="2"/>
  <c r="H18" i="2"/>
  <c r="G18" i="2"/>
  <c r="F18" i="2"/>
  <c r="E18" i="2"/>
  <c r="N17" i="2"/>
  <c r="M17" i="2"/>
  <c r="L17" i="2"/>
  <c r="K17" i="2"/>
  <c r="J17" i="2"/>
  <c r="H17" i="2"/>
  <c r="I17" i="2" s="1"/>
  <c r="G17" i="2"/>
  <c r="F17" i="2"/>
  <c r="E17" i="2"/>
  <c r="N16" i="2"/>
  <c r="M16" i="2"/>
  <c r="L16" i="2"/>
  <c r="K16" i="2"/>
  <c r="J16" i="2"/>
  <c r="I16" i="2"/>
  <c r="H16" i="2"/>
  <c r="G16" i="2"/>
  <c r="F16" i="2"/>
  <c r="E16" i="2"/>
  <c r="N15" i="2"/>
  <c r="M15" i="2"/>
  <c r="L15" i="2"/>
  <c r="K15" i="2"/>
  <c r="J15" i="2"/>
  <c r="H15" i="2"/>
  <c r="I15" i="2" s="1"/>
  <c r="G15" i="2"/>
  <c r="F15" i="2"/>
  <c r="E15" i="2"/>
  <c r="N14" i="2"/>
  <c r="M14" i="2"/>
  <c r="L14" i="2"/>
  <c r="K14" i="2"/>
  <c r="J14" i="2"/>
  <c r="I14" i="2"/>
  <c r="H14" i="2"/>
  <c r="G14" i="2"/>
  <c r="F14" i="2"/>
  <c r="E14" i="2"/>
  <c r="N13" i="2"/>
  <c r="M13" i="2"/>
  <c r="L13" i="2"/>
  <c r="K13" i="2"/>
  <c r="J13" i="2"/>
  <c r="H13" i="2"/>
  <c r="I13" i="2" s="1"/>
  <c r="G13" i="2"/>
  <c r="F13" i="2"/>
  <c r="E13" i="2"/>
  <c r="N12" i="2"/>
  <c r="M12" i="2"/>
  <c r="L12" i="2"/>
  <c r="K12" i="2"/>
  <c r="J12" i="2"/>
  <c r="H12" i="2"/>
  <c r="I12" i="2" s="1"/>
  <c r="G12" i="2"/>
  <c r="F12" i="2"/>
  <c r="E12" i="2"/>
  <c r="N11" i="2"/>
  <c r="M11" i="2"/>
  <c r="L11" i="2"/>
  <c r="K11" i="2"/>
  <c r="J11" i="2"/>
  <c r="I11" i="2"/>
  <c r="H11" i="2"/>
  <c r="G11" i="2"/>
  <c r="F11" i="2"/>
  <c r="E11" i="2"/>
  <c r="N10" i="2"/>
  <c r="M10" i="2"/>
  <c r="L10" i="2"/>
  <c r="K10" i="2"/>
  <c r="J10" i="2"/>
  <c r="H10" i="2"/>
  <c r="I10" i="2" s="1"/>
  <c r="G10" i="2"/>
  <c r="F10" i="2"/>
  <c r="E10" i="2"/>
  <c r="N9" i="2"/>
  <c r="M9" i="2"/>
  <c r="L9" i="2"/>
  <c r="K9" i="2"/>
  <c r="J9" i="2"/>
  <c r="I9" i="2"/>
  <c r="H9" i="2"/>
  <c r="G9" i="2"/>
  <c r="F9" i="2"/>
  <c r="E9" i="2"/>
  <c r="M8" i="2"/>
  <c r="L8" i="2"/>
  <c r="N8" i="2" s="1"/>
  <c r="K8" i="2"/>
  <c r="J8" i="2"/>
  <c r="H8" i="2"/>
  <c r="I8" i="2" s="1"/>
  <c r="G8" i="2"/>
  <c r="F8" i="2"/>
  <c r="E8" i="2" s="1"/>
  <c r="M7" i="2"/>
  <c r="L7" i="2"/>
  <c r="K7" i="2"/>
  <c r="J7" i="2"/>
  <c r="N7" i="2" s="1"/>
  <c r="H7" i="2"/>
  <c r="I7" i="2" s="1"/>
  <c r="G7" i="2"/>
  <c r="F7" i="2"/>
  <c r="E7" i="2"/>
  <c r="M6" i="2"/>
  <c r="L6" i="2"/>
  <c r="N6" i="2" s="1"/>
  <c r="K6" i="2"/>
  <c r="J6" i="2"/>
  <c r="H6" i="2"/>
  <c r="I6" i="2" s="1"/>
  <c r="G6" i="2"/>
  <c r="F6" i="2"/>
  <c r="E6" i="2"/>
  <c r="M5" i="2"/>
  <c r="L5" i="2"/>
  <c r="N5" i="2" s="1"/>
  <c r="K5" i="2"/>
  <c r="J5" i="2"/>
  <c r="H5" i="2"/>
  <c r="I5" i="2" s="1"/>
  <c r="G5" i="2"/>
  <c r="F5" i="2"/>
  <c r="E5" i="2"/>
  <c r="M4" i="2"/>
  <c r="L4" i="2"/>
  <c r="K4" i="2"/>
  <c r="J4" i="2"/>
  <c r="N4" i="2" s="1"/>
  <c r="H4" i="2"/>
  <c r="I4" i="2" s="1"/>
  <c r="G4" i="2"/>
  <c r="F4" i="2"/>
  <c r="E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B3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Category_Code 是真实分类编码，即 code_key。本列不允许包含 /。</t>
        </r>
      </text>
    </comment>
    <comment ref="C3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Category_Path 是完整分类路径，必须使用 / 连接各层编码，且最后一段必须等于 Category_Code。</t>
        </r>
      </text>
    </comment>
    <comment ref="E3" authorId="0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Tree_Preview 用于人工审阅层级结构。补录行时若输入区视觉顺序偏移，请看“分类树预览”页。</t>
        </r>
      </text>
    </comment>
    <comment ref="F3" authorId="0" shapeId="0" xr:uid="{00000000-0006-0000-0100-000004000000}">
      <text>
        <r>
          <rPr>
            <sz val="11"/>
            <color theme="1"/>
            <rFont val="宋体"/>
            <family val="2"/>
            <scheme val="minor"/>
          </rPr>
          <t>Level_Preview 自动根据路径层级计算。</t>
        </r>
      </text>
    </comment>
    <comment ref="J3" authorId="0" shapeId="0" xr:uid="{00000000-0006-0000-0100-000005000000}">
      <text>
        <r>
          <rPr>
            <sz val="11"/>
            <color theme="1"/>
            <rFont val="宋体"/>
            <family val="2"/>
            <scheme val="minor"/>
          </rPr>
          <t>Code_Path_Match_Check 同时校验编码与路径末段一致性，以及路径基础格式。</t>
        </r>
      </text>
    </comment>
    <comment ref="K3" authorId="0" shapeId="0" xr:uid="{00000000-0006-0000-0100-000006000000}">
      <text>
        <r>
          <rPr>
            <sz val="11"/>
            <color theme="1"/>
            <rFont val="宋体"/>
            <family val="2"/>
            <scheme val="minor"/>
          </rPr>
          <t>Parent_Exists_Check 会检查父路径是否已在上方出现，顶层节点显示 TOP。</t>
        </r>
      </text>
    </comment>
    <comment ref="N3" authorId="0" shapeId="0" xr:uid="{00000000-0006-0000-0100-000007000000}">
      <text>
        <r>
          <rPr>
            <sz val="11"/>
            <color theme="1"/>
            <rFont val="宋体"/>
            <family val="2"/>
            <scheme val="minor"/>
          </rPr>
          <t>Row_Status 仅在关键校验全部通过时显示 OK。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A3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Category_Code 表示真实分类编码，必须先在“分类层级”工作表的 Category_Code 列中存在。</t>
        </r>
      </text>
    </comment>
    <comment ref="F3" authorId="0" shapeId="0" xr:uid="{00000000-0006-0000-0200-000002000000}">
      <text>
        <r>
          <rPr>
            <sz val="11"/>
            <color theme="1"/>
            <rFont val="宋体"/>
            <family val="2"/>
            <scheme val="minor"/>
          </rPr>
          <t>Description 用于维护属性业务说明，建议填写面向业务用户可读的定义。</t>
        </r>
      </text>
    </comment>
    <comment ref="U3" authorId="0" shapeId="0" xr:uid="{00000000-0006-0000-0200-000003000000}">
      <text>
        <r>
          <rPr>
            <sz val="11"/>
            <color theme="1"/>
            <rFont val="宋体"/>
            <family val="2"/>
            <scheme val="minor"/>
          </rPr>
          <t>Data_Type 为 enum 或 multi_enum 时，LOV_Key 必填，并需在“枚举值定义”表补充值集。</t>
        </r>
      </text>
    </comment>
  </commentList>
</comments>
</file>

<file path=xl/sharedStrings.xml><?xml version="1.0" encoding="utf-8"?>
<sst xmlns="http://schemas.openxmlformats.org/spreadsheetml/2006/main" count="239" uniqueCount="166">
  <si>
    <t>PLM 元数据统一导入模板</t>
  </si>
  <si>
    <t>适用范围</t>
  </si>
  <si>
    <t>一个工作簿内完成分类、属性、枚举值导入准备，不涉及业务代码改造。</t>
  </si>
  <si>
    <t>本次优化</t>
  </si>
  <si>
    <t>分类层级表采用编码与路径分离设计，避免把 path 误当作 code_key。</t>
  </si>
  <si>
    <t>推荐填写顺序</t>
  </si>
  <si>
    <t>1) 代码清单  2) 分类层级  3) 属性定义  4) 枚举值定义  5) 删除示例行。</t>
  </si>
  <si>
    <t>分类建模方式</t>
  </si>
  <si>
    <t>Category_Code 表示真实分类编码；Category_Path 表示完整路径，路径中的每一段都必须等于某个 Category_Code。</t>
  </si>
  <si>
    <t>属性建模方式</t>
  </si>
  <si>
    <t>属性单独成表，每一行只描述一个分类下的一条属性，不再混入整棵分类路径。</t>
  </si>
  <si>
    <t>层级可读性</t>
  </si>
  <si>
    <t>分类层级表右侧使用公式推导路径末段、父路径、父编码、层级和树形预览。</t>
  </si>
  <si>
    <t>唯一键建议</t>
  </si>
  <si>
    <t>分类节点：Category_Code；属性：Category_Code + Attribute_Key；枚举值：LOV_Key + Option_Code。</t>
  </si>
  <si>
    <t>适配现状</t>
  </si>
  <si>
    <t>模板支持 string、number、bool、enum、multi_enum、date。是否全部可直接导入，取决于后端现有导入能力。</t>
  </si>
  <si>
    <t>工作表</t>
  </si>
  <si>
    <t>用途</t>
  </si>
  <si>
    <t>关键必填</t>
  </si>
  <si>
    <t>关键规则</t>
  </si>
  <si>
    <t>分类层级</t>
  </si>
  <si>
    <t>定义分类树</t>
  </si>
  <si>
    <t>Business_Domain, Category_Code, Category_Path, Category_Name</t>
  </si>
  <si>
    <t>Category_Code 为真实编码；Category_Path 使用 / 分隔层级路径</t>
  </si>
  <si>
    <t>属性定义</t>
  </si>
  <si>
    <t>定义属性元数据</t>
  </si>
  <si>
    <t>Category_Code, Attribute_Key, Attribute_Name, Data_Type</t>
  </si>
  <si>
    <t>属性按所属分类编码挂接</t>
  </si>
  <si>
    <t>枚举值定义</t>
  </si>
  <si>
    <t>维护 enum / multi_enum 值集</t>
  </si>
  <si>
    <t>LOV_Key, Option_Code, Option_Name</t>
  </si>
  <si>
    <t>必须与属性定义中的 LOV_Key 一致</t>
  </si>
  <si>
    <t>代码清单</t>
  </si>
  <si>
    <t>下拉标准值</t>
  </si>
  <si>
    <t>无</t>
  </si>
  <si>
    <t>不要修改现有标准值文本，扩展时只追加</t>
  </si>
  <si>
    <t>填写原则</t>
  </si>
  <si>
    <t>同一类信息放在同一工作表中，不要为了展示层级把属性重复写在多列路径里。</t>
  </si>
  <si>
    <t>实施建议</t>
  </si>
  <si>
    <t>先由实施顾问整理分类树，再由业务顾问补属性和枚举值，最后统一校验。</t>
  </si>
  <si>
    <t>分类层级：填写真实编码、完整路径、分类名称，右侧自动校验与预览</t>
  </si>
  <si>
    <t>用户填写区</t>
  </si>
  <si>
    <t>预览区</t>
  </si>
  <si>
    <t>校验区</t>
  </si>
  <si>
    <t>业务域（Business_Domain）</t>
  </si>
  <si>
    <t>分类编码（Category_Code）</t>
  </si>
  <si>
    <t>分类路径（Category_Path）</t>
  </si>
  <si>
    <t>分类名称（Category_Name）</t>
  </si>
  <si>
    <t>树形预览（Tree_Preview）</t>
  </si>
  <si>
    <t>层级预览（Level_Preview）</t>
  </si>
  <si>
    <t>路径末级编码预览（Current_Node_From_Path）</t>
  </si>
  <si>
    <t>父级路径预览（Parent_Path_Preview）</t>
  </si>
  <si>
    <t>父级编码预览（Parent_Code_Preview）</t>
  </si>
  <si>
    <t>编码路径校验（Code_Path_Match_Check）</t>
  </si>
  <si>
    <t>父级存在校验（Parent_Exists_Check）</t>
  </si>
  <si>
    <t>路径唯一校验（Path_Unique_Check）</t>
  </si>
  <si>
    <t>编码唯一校验（Code_Unique_Check）</t>
  </si>
  <si>
    <t>行状态（Row_Status）</t>
  </si>
  <si>
    <t>PRODUCT</t>
  </si>
  <si>
    <t>A</t>
  </si>
  <si>
    <t>产成品</t>
  </si>
  <si>
    <t>A01</t>
  </si>
  <si>
    <t>A/A01</t>
  </si>
  <si>
    <t>激光系统</t>
  </si>
  <si>
    <t>A01_01</t>
  </si>
  <si>
    <t>A/A01/A01_01</t>
  </si>
  <si>
    <t>光纤激光系统</t>
  </si>
  <si>
    <t>A01_01_001</t>
  </si>
  <si>
    <t>A/A01/A01_01/A01_01_001</t>
  </si>
  <si>
    <t>连续光源系列</t>
  </si>
  <si>
    <t>A01_01_001_01</t>
  </si>
  <si>
    <t>A/A01/A01_01/A01_01_001/A01_01_001_01</t>
  </si>
  <si>
    <t>连续单频激光器</t>
  </si>
  <si>
    <t>属性定义：一行一个属性，按 Category_Code 挂接到分类节点</t>
  </si>
  <si>
    <t>属性编码（Attribute_Key）</t>
  </si>
  <si>
    <t>属性名称（Attribute_Name）</t>
  </si>
  <si>
    <t>属性字段（Attribute_Field）</t>
  </si>
  <si>
    <t>属性说明（Description）</t>
  </si>
  <si>
    <t>数据类型（Data_Type）</t>
  </si>
  <si>
    <t>单位（Unit）</t>
  </si>
  <si>
    <t>默认值（Default_Value）</t>
  </si>
  <si>
    <t>必填（Required）</t>
  </si>
  <si>
    <t>唯一（Unique）</t>
  </si>
  <si>
    <t>可搜索（Searchable）</t>
  </si>
  <si>
    <t>隐藏（Hidden）</t>
  </si>
  <si>
    <t>只读（Read_Only）</t>
  </si>
  <si>
    <t>最小值（Min_Value）</t>
  </si>
  <si>
    <t>最大值（Max_Value）</t>
  </si>
  <si>
    <t>步长（Step）</t>
  </si>
  <si>
    <t>精度（Precision）</t>
  </si>
  <si>
    <t>真值显示（True_Label）</t>
  </si>
  <si>
    <t>假值显示（False_Label）</t>
  </si>
  <si>
    <t>值集编码（LOV_Key）</t>
  </si>
  <si>
    <t>ATT_POWER</t>
  </si>
  <si>
    <t>功率</t>
  </si>
  <si>
    <t>power</t>
  </si>
  <si>
    <t>额定输出功率</t>
  </si>
  <si>
    <t>number</t>
  </si>
  <si>
    <t>W</t>
  </si>
  <si>
    <t>10</t>
  </si>
  <si>
    <t>Y</t>
  </si>
  <si>
    <t>N</t>
  </si>
  <si>
    <t>5</t>
  </si>
  <si>
    <t>20</t>
  </si>
  <si>
    <t>0.5</t>
  </si>
  <si>
    <t>1</t>
  </si>
  <si>
    <t>ATT_WAVELENGTH</t>
  </si>
  <si>
    <t>波长</t>
  </si>
  <si>
    <t>wavelength</t>
  </si>
  <si>
    <t>标准输出波长</t>
  </si>
  <si>
    <t>enum</t>
  </si>
  <si>
    <t>nm</t>
  </si>
  <si>
    <t>532</t>
  </si>
  <si>
    <t>LOV_A010100101_WAVELENGTH</t>
  </si>
  <si>
    <t>ATT_PROTOCOL</t>
  </si>
  <si>
    <t>控制接口</t>
  </si>
  <si>
    <t>controlProtocol</t>
  </si>
  <si>
    <t>支持的控制接口集合</t>
  </si>
  <si>
    <t>multi_enum</t>
  </si>
  <si>
    <t>RS232;CAN</t>
  </si>
  <si>
    <t>LOV_A010100101_PROTOCOL</t>
  </si>
  <si>
    <t>ATT_COOLING</t>
  </si>
  <si>
    <t>是否风冷</t>
  </si>
  <si>
    <t>airCooling</t>
  </si>
  <si>
    <t>是否采用风冷散热</t>
  </si>
  <si>
    <t>bool</t>
  </si>
  <si>
    <t>TRUE</t>
  </si>
  <si>
    <t>是</t>
  </si>
  <si>
    <t>否</t>
  </si>
  <si>
    <t>ATT_DESC</t>
  </si>
  <si>
    <t>产品说明</t>
  </si>
  <si>
    <t>description</t>
  </si>
  <si>
    <t>产品说明文本</t>
  </si>
  <si>
    <t>string</t>
  </si>
  <si>
    <t>高稳定单频激光器</t>
  </si>
  <si>
    <t>枚举值定义：单选枚举和多选枚举共用值集表</t>
  </si>
  <si>
    <t>选项编码（Option_Code）</t>
  </si>
  <si>
    <t>选项名称（Option_Name）</t>
  </si>
  <si>
    <t>显示标签（Display_Label）</t>
  </si>
  <si>
    <t>启用（Enabled）</t>
  </si>
  <si>
    <t>W532</t>
  </si>
  <si>
    <t>532nm</t>
  </si>
  <si>
    <t>W780</t>
  </si>
  <si>
    <t>780</t>
  </si>
  <si>
    <t>780nm</t>
  </si>
  <si>
    <t>RS232</t>
  </si>
  <si>
    <t>CAN</t>
  </si>
  <si>
    <t>CANOpen</t>
  </si>
  <si>
    <t>代码清单：模板内所有下拉标准值</t>
  </si>
  <si>
    <t>是/否（Yes_No）</t>
  </si>
  <si>
    <t>填写规则说明</t>
  </si>
  <si>
    <t>分类层级表按父节点在前、子节点在后的顺序填写。</t>
  </si>
  <si>
    <t>MATERIAL</t>
  </si>
  <si>
    <t>Category_Code 是真实编码，不允许包含 /。</t>
  </si>
  <si>
    <t>BOM</t>
  </si>
  <si>
    <t>Category_Path 必须使用 / 作为唯一层级分隔符。</t>
  </si>
  <si>
    <t>PROCESS</t>
  </si>
  <si>
    <t>Category_Path 的最后一段必须等于 Category_Code。</t>
  </si>
  <si>
    <t>TEST</t>
  </si>
  <si>
    <t>Parent_Exists_Check 会检查父路径是否已在上方出现。</t>
  </si>
  <si>
    <t>EXPERIMENT</t>
  </si>
  <si>
    <t>date</t>
  </si>
  <si>
    <t>属性定义与枚举值定义中的 Category_Code 应引用真实编码，而不是路径。</t>
  </si>
  <si>
    <t>enum 和 multi_enum 必须维护 LOV_Key。</t>
  </si>
  <si>
    <t>Row_Status 为 OK 时表示关键校验全部通过。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</si>
</sst>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8"/>
      <color rgb="FFFFFFFF"/>
      <name val="Arial"/>
    </font>
    <font>
      <b/>
      <sz val="10"/>
      <color rgb="FF1F1F1F"/>
      <name val="Arial"/>
    </font>
    <font>
      <sz val="10"/>
      <color rgb="FF000000"/>
      <name val="Arial"/>
    </font>
    <font>
      <sz val="9"/>
      <name val="宋体"/>
      <family val="3"/>
      <charset val="134"/>
      <scheme val="minor"/>
    </font>
    <font>
      <b/>
      <sz val="12"/>
      <color rgb="FF1F1F1F"/>
      <name val="Arial"/>
      <family val="2"/>
    </font>
    <font>
      <sz val="12"/>
      <color theme="1"/>
      <name val="宋体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34E70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8DFAF"/>
      </patternFill>
    </fill>
    <fill>
      <patternFill patternType="solid">
        <fgColor rgb="FFCFE2F3"/>
      </patternFill>
    </fill>
    <fill>
      <patternFill patternType="solid">
        <fgColor rgb="FFD9EAD3"/>
      </patternFill>
    </fill>
    <fill>
      <patternFill patternType="solid">
        <fgColor rgb="FFBDD7EE"/>
      </patternFill>
    </fill>
    <fill>
      <patternFill patternType="solid">
        <fgColor rgb="FFF7F9FB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EAF7EA"/>
      </patternFill>
    </fill>
  </fills>
  <borders count="4">
    <border>
      <left/>
      <right/>
      <top/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medium">
        <color rgb="FF7F8C8D"/>
      </left>
      <right style="medium">
        <color rgb="FF7F8C8D"/>
      </right>
      <top style="medium">
        <color rgb="FF7F8C8D"/>
      </top>
      <bottom style="medium">
        <color rgb="FF7F8C8D"/>
      </bottom>
      <diagonal/>
    </border>
    <border>
      <left/>
      <right/>
      <top/>
      <bottom style="medium">
        <color rgb="FF7F8C8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5" borderId="2" xfId="0" applyFont="1" applyFill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0" fillId="10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常规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workbookViewId="0">
      <pane ySplit="3" topLeftCell="A4" activePane="bottomLeft" state="frozen"/>
      <selection pane="bottomLeft" sqref="A1:H2"/>
    </sheetView>
  </sheetViews>
  <sheetFormatPr defaultRowHeight="14" x14ac:dyDescent="0.25"/>
  <cols>
    <col min="1" max="1" width="18" customWidth="1"/>
    <col min="2" max="2" width="103.453125" bestFit="1" customWidth="1"/>
    <col min="3" max="3" width="60" bestFit="1" customWidth="1"/>
    <col min="4" max="4" width="57.6328125" bestFit="1" customWidth="1"/>
    <col min="5" max="8" width="14" customWidth="1"/>
  </cols>
  <sheetData>
    <row r="1" spans="1:8" ht="28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</row>
    <row r="2" spans="1:8" ht="22" customHeight="1" x14ac:dyDescent="0.25">
      <c r="A2" s="17"/>
      <c r="B2" s="17"/>
      <c r="C2" s="17"/>
      <c r="D2" s="17"/>
      <c r="E2" s="17"/>
      <c r="F2" s="17"/>
      <c r="G2" s="17"/>
      <c r="H2" s="17"/>
    </row>
    <row r="3" spans="1:8" ht="28" customHeight="1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" t="s">
        <v>1</v>
      </c>
      <c r="B4" s="3" t="s">
        <v>2</v>
      </c>
      <c r="C4" s="1"/>
      <c r="D4" s="1"/>
      <c r="E4" s="1"/>
      <c r="F4" s="1"/>
      <c r="G4" s="1"/>
      <c r="H4" s="1"/>
    </row>
    <row r="5" spans="1:8" x14ac:dyDescent="0.25">
      <c r="A5" s="2" t="s">
        <v>3</v>
      </c>
      <c r="B5" s="3" t="s">
        <v>4</v>
      </c>
      <c r="C5" s="1"/>
      <c r="D5" s="1"/>
      <c r="E5" s="1"/>
      <c r="F5" s="1"/>
      <c r="G5" s="1"/>
      <c r="H5" s="1"/>
    </row>
    <row r="6" spans="1:8" x14ac:dyDescent="0.25">
      <c r="A6" s="2" t="s">
        <v>5</v>
      </c>
      <c r="B6" s="3" t="s">
        <v>6</v>
      </c>
      <c r="C6" s="1"/>
      <c r="D6" s="1"/>
      <c r="E6" s="1"/>
      <c r="F6" s="1"/>
      <c r="G6" s="1"/>
      <c r="H6" s="1"/>
    </row>
    <row r="7" spans="1:8" x14ac:dyDescent="0.25">
      <c r="A7" s="2" t="s">
        <v>7</v>
      </c>
      <c r="B7" s="3" t="s">
        <v>8</v>
      </c>
      <c r="C7" s="1"/>
      <c r="D7" s="1"/>
      <c r="E7" s="1"/>
      <c r="F7" s="1"/>
      <c r="G7" s="1"/>
      <c r="H7" s="1"/>
    </row>
    <row r="8" spans="1:8" x14ac:dyDescent="0.25">
      <c r="A8" s="2" t="s">
        <v>9</v>
      </c>
      <c r="B8" s="3" t="s">
        <v>10</v>
      </c>
      <c r="C8" s="1"/>
      <c r="D8" s="1"/>
      <c r="E8" s="1"/>
      <c r="F8" s="1"/>
      <c r="G8" s="1"/>
      <c r="H8" s="1"/>
    </row>
    <row r="9" spans="1:8" x14ac:dyDescent="0.25">
      <c r="A9" s="2" t="s">
        <v>11</v>
      </c>
      <c r="B9" s="3" t="s">
        <v>12</v>
      </c>
      <c r="C9" s="1"/>
      <c r="D9" s="1"/>
      <c r="E9" s="1"/>
      <c r="F9" s="1"/>
      <c r="G9" s="1"/>
      <c r="H9" s="1"/>
    </row>
    <row r="10" spans="1:8" x14ac:dyDescent="0.25">
      <c r="A10" s="2" t="s">
        <v>13</v>
      </c>
      <c r="B10" s="3" t="s">
        <v>14</v>
      </c>
      <c r="C10" s="1"/>
      <c r="D10" s="1"/>
      <c r="E10" s="1"/>
      <c r="F10" s="1"/>
      <c r="G10" s="1"/>
      <c r="H10" s="1"/>
    </row>
    <row r="11" spans="1:8" x14ac:dyDescent="0.25">
      <c r="A11" s="2" t="s">
        <v>15</v>
      </c>
      <c r="B11" s="3" t="s">
        <v>16</v>
      </c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4" t="s">
        <v>17</v>
      </c>
      <c r="B14" s="4" t="s">
        <v>18</v>
      </c>
      <c r="C14" s="4" t="s">
        <v>19</v>
      </c>
      <c r="D14" s="4" t="s">
        <v>20</v>
      </c>
      <c r="E14" s="1"/>
      <c r="F14" s="1"/>
      <c r="G14" s="1"/>
      <c r="H14" s="1"/>
    </row>
    <row r="15" spans="1:8" x14ac:dyDescent="0.25">
      <c r="A15" s="3" t="s">
        <v>21</v>
      </c>
      <c r="B15" s="3" t="s">
        <v>22</v>
      </c>
      <c r="C15" s="3" t="s">
        <v>23</v>
      </c>
      <c r="D15" s="3" t="s">
        <v>24</v>
      </c>
      <c r="E15" s="1"/>
      <c r="F15" s="1"/>
      <c r="G15" s="1"/>
      <c r="H15" s="1"/>
    </row>
    <row r="16" spans="1:8" x14ac:dyDescent="0.25">
      <c r="A16" s="3" t="s">
        <v>25</v>
      </c>
      <c r="B16" s="3" t="s">
        <v>26</v>
      </c>
      <c r="C16" s="3" t="s">
        <v>27</v>
      </c>
      <c r="D16" s="3" t="s">
        <v>28</v>
      </c>
      <c r="E16" s="1"/>
      <c r="F16" s="1"/>
      <c r="G16" s="1"/>
      <c r="H16" s="1"/>
    </row>
    <row r="17" spans="1:8" x14ac:dyDescent="0.25">
      <c r="A17" s="3" t="s">
        <v>29</v>
      </c>
      <c r="B17" s="3" t="s">
        <v>30</v>
      </c>
      <c r="C17" s="3" t="s">
        <v>31</v>
      </c>
      <c r="D17" s="3" t="s">
        <v>32</v>
      </c>
      <c r="E17" s="1"/>
      <c r="F17" s="1"/>
      <c r="G17" s="1"/>
      <c r="H17" s="1"/>
    </row>
    <row r="18" spans="1:8" x14ac:dyDescent="0.25">
      <c r="A18" s="3" t="s">
        <v>33</v>
      </c>
      <c r="B18" s="3" t="s">
        <v>34</v>
      </c>
      <c r="C18" s="3" t="s">
        <v>35</v>
      </c>
      <c r="D18" s="3" t="s">
        <v>36</v>
      </c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5" t="s">
        <v>37</v>
      </c>
      <c r="B21" s="3" t="s">
        <v>38</v>
      </c>
      <c r="C21" s="1"/>
      <c r="D21" s="1"/>
      <c r="E21" s="1"/>
      <c r="F21" s="1"/>
      <c r="G21" s="1"/>
      <c r="H21" s="1"/>
    </row>
    <row r="22" spans="1:8" x14ac:dyDescent="0.25">
      <c r="A22" s="5" t="s">
        <v>39</v>
      </c>
      <c r="B22" s="3" t="s">
        <v>40</v>
      </c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</sheetData>
  <mergeCells count="1">
    <mergeCell ref="A1:H2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0"/>
  <sheetViews>
    <sheetView showGridLines="0" workbookViewId="0">
      <pane ySplit="3" topLeftCell="A4" activePane="bottomLeft" state="frozen"/>
      <selection pane="bottomLeft" activeCell="C10" sqref="C10"/>
    </sheetView>
  </sheetViews>
  <sheetFormatPr defaultRowHeight="22" customHeight="1" x14ac:dyDescent="0.25"/>
  <cols>
    <col min="1" max="1" width="25.6328125" style="20" bestFit="1" customWidth="1"/>
    <col min="2" max="2" width="23.36328125" bestFit="1" customWidth="1"/>
    <col min="3" max="3" width="51.36328125" customWidth="1"/>
    <col min="4" max="4" width="23.81640625" bestFit="1" customWidth="1"/>
    <col min="5" max="5" width="42.36328125" style="35" customWidth="1"/>
    <col min="6" max="6" width="22.26953125" style="20" bestFit="1" customWidth="1"/>
    <col min="7" max="7" width="18" style="20" hidden="1" customWidth="1"/>
    <col min="8" max="8" width="28" style="20" hidden="1" customWidth="1"/>
    <col min="9" max="9" width="18" style="20" hidden="1" customWidth="1"/>
    <col min="10" max="14" width="17.08984375" style="20" customWidth="1"/>
  </cols>
  <sheetData>
    <row r="1" spans="1:14" ht="50" customHeight="1" x14ac:dyDescent="0.25">
      <c r="A1" s="18" t="s">
        <v>41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0" customHeight="1" x14ac:dyDescent="0.25">
      <c r="A2" s="28" t="s">
        <v>42</v>
      </c>
      <c r="B2" s="29"/>
      <c r="C2" s="29"/>
      <c r="D2" s="29"/>
      <c r="E2" s="30" t="s">
        <v>43</v>
      </c>
      <c r="F2" s="29"/>
      <c r="G2" s="29"/>
      <c r="H2" s="29"/>
      <c r="I2" s="29"/>
      <c r="J2" s="31" t="s">
        <v>44</v>
      </c>
      <c r="K2" s="32"/>
      <c r="L2" s="32"/>
      <c r="M2" s="32"/>
      <c r="N2" s="32"/>
    </row>
    <row r="3" spans="1:14" s="20" customFormat="1" ht="40" customHeight="1" x14ac:dyDescent="0.25">
      <c r="A3" s="6" t="s">
        <v>45</v>
      </c>
      <c r="B3" s="6" t="s">
        <v>46</v>
      </c>
      <c r="C3" s="6" t="s">
        <v>47</v>
      </c>
      <c r="D3" s="6" t="s">
        <v>48</v>
      </c>
      <c r="E3" s="7" t="s">
        <v>49</v>
      </c>
      <c r="F3" s="7" t="s">
        <v>50</v>
      </c>
      <c r="G3" s="7" t="s">
        <v>51</v>
      </c>
      <c r="H3" s="7" t="s">
        <v>52</v>
      </c>
      <c r="I3" s="7" t="s">
        <v>53</v>
      </c>
      <c r="J3" s="8" t="s">
        <v>54</v>
      </c>
      <c r="K3" s="8" t="s">
        <v>55</v>
      </c>
      <c r="L3" s="8" t="s">
        <v>56</v>
      </c>
      <c r="M3" s="8" t="s">
        <v>57</v>
      </c>
      <c r="N3" s="8" t="s">
        <v>58</v>
      </c>
    </row>
    <row r="4" spans="1:14" ht="22" customHeight="1" x14ac:dyDescent="0.25">
      <c r="A4" s="24" t="s">
        <v>59</v>
      </c>
      <c r="B4" s="9" t="s">
        <v>60</v>
      </c>
      <c r="C4" s="9" t="s">
        <v>60</v>
      </c>
      <c r="D4" s="9" t="s">
        <v>61</v>
      </c>
      <c r="E4" s="33" t="str">
        <f t="shared" ref="E4:E67" si="0">IF(D4="","",REPT("    ",MAX(F4-1,0))&amp;"|- "&amp;D4)</f>
        <v>|- 产成品</v>
      </c>
      <c r="F4" s="24">
        <f t="shared" ref="F4:F67" si="1">IF(C4="","",LEN(C4)-LEN(SUBSTITUTE(C4,"/",""))+1)</f>
        <v>1</v>
      </c>
      <c r="G4" s="24" t="str">
        <f t="shared" ref="G4:G67" si="2">IF(C4="","",IFERROR(RIGHT(C4,LEN(C4)-FIND("@",SUBSTITUTE(C4,"/","@",LEN(C4)-LEN(SUBSTITUTE(C4,"/",""))))),C4))</f>
        <v>A</v>
      </c>
      <c r="H4" s="24" t="str">
        <f t="shared" ref="H4:H67" si="3">IF(C4="","",IFERROR(LEFT(C4,FIND("@",SUBSTITUTE(C4,"/","@",LEN(C4)-LEN(SUBSTITUTE(C4,"/",""))))-1),"ROOT"))</f>
        <v>ROOT</v>
      </c>
      <c r="I4" s="24" t="str">
        <f t="shared" ref="I4:I67" si="4">IF(H4="","",IF(H4="ROOT","ROOT",IFERROR(RIGHT(H4,LEN(H4)-FIND("@",SUBSTITUTE(H4,"/","@",LEN(H4)-LEN(SUBSTITUTE(H4,"/",""))))),H4)))</f>
        <v>ROOT</v>
      </c>
      <c r="J4" s="24" t="str">
        <f t="shared" ref="J4:J67" si="5">IF(OR(B4="",C4=""),"",IF(AND(B4=IFERROR(RIGHT(C4,LEN(C4)-FIND("@",SUBSTITUTE(C4,"/","@",LEN(C4)-LEN(SUBSTITUTE(C4,"/",""))))),C4),ISERROR(SEARCH("/",B4)),LEFT(C4,1)&lt;&gt;"/",RIGHT(C4,1)&lt;&gt;"/",ISERROR(SEARCH(".",C4)),ISERROR(SEARCH("//",C4))),"OK","CHECK"))</f>
        <v>OK</v>
      </c>
      <c r="K4" s="24" t="str">
        <f>IF(C4="","",IF(LEN(C4)-LEN(SUBSTITUTE(C4,"/",""))+1=1,"TOP",IF(COUNTIF($C$4:INDEX($C:$C,ROW()-1),IFERROR(LEFT(C4,FIND("@",SUBSTITUTE(C4,"/","@",LEN(C4)-LEN(SUBSTITUTE(C4,"/",""))))-1),"ROOT"))&gt;0,"OK","CHECK")))</f>
        <v>TOP</v>
      </c>
      <c r="L4" s="24" t="str">
        <f t="shared" ref="L4:L67" si="6">IF(C4="","",IF(COUNTIFS($A:$A,$A4,$C:$C,C4)=1,"OK","DUP"))</f>
        <v>OK</v>
      </c>
      <c r="M4" s="24" t="str">
        <f t="shared" ref="M4:M67" si="7">IF(B4="","",IF(COUNTIFS($A:$A,$A4,$B:$B,B4)=1,"OK","DUP"))</f>
        <v>OK</v>
      </c>
      <c r="N4" s="24" t="str">
        <f t="shared" ref="N4:N67" si="8">IF(OR(B4="",C4="",D4=""),"",IF(AND(J4="OK",OR(K4="OK",K4="TOP"),L4="OK",M4="OK"),"OK","CHECK"))</f>
        <v>OK</v>
      </c>
    </row>
    <row r="5" spans="1:14" ht="22" customHeight="1" x14ac:dyDescent="0.25">
      <c r="A5" s="24" t="s">
        <v>59</v>
      </c>
      <c r="B5" s="9" t="s">
        <v>62</v>
      </c>
      <c r="C5" s="9" t="s">
        <v>63</v>
      </c>
      <c r="D5" s="9" t="s">
        <v>64</v>
      </c>
      <c r="E5" s="33" t="str">
        <f t="shared" si="0"/>
        <v xml:space="preserve">    |- 激光系统</v>
      </c>
      <c r="F5" s="24">
        <f t="shared" si="1"/>
        <v>2</v>
      </c>
      <c r="G5" s="24" t="str">
        <f t="shared" si="2"/>
        <v>A01</v>
      </c>
      <c r="H5" s="24" t="str">
        <f t="shared" si="3"/>
        <v>A</v>
      </c>
      <c r="I5" s="24" t="str">
        <f t="shared" si="4"/>
        <v>A</v>
      </c>
      <c r="J5" s="24" t="str">
        <f t="shared" si="5"/>
        <v>OK</v>
      </c>
      <c r="K5" s="24" t="str">
        <f>IF(C5="","",IF(LEN(C5)-LEN(SUBSTITUTE(C5,"/",""))+1=1,"TOP",IF(COUNTIF($C$4:INDEX($C:$C,ROW()-1),IFERROR(LEFT(C5,FIND("@",SUBSTITUTE(C5,"/","@",LEN(C5)-LEN(SUBSTITUTE(C5,"/",""))))-1),"ROOT"))&gt;0,"OK","CHECK")))</f>
        <v>OK</v>
      </c>
      <c r="L5" s="24" t="str">
        <f t="shared" si="6"/>
        <v>OK</v>
      </c>
      <c r="M5" s="24" t="str">
        <f t="shared" si="7"/>
        <v>OK</v>
      </c>
      <c r="N5" s="24" t="str">
        <f t="shared" si="8"/>
        <v>OK</v>
      </c>
    </row>
    <row r="6" spans="1:14" ht="22" customHeight="1" x14ac:dyDescent="0.25">
      <c r="A6" s="24" t="s">
        <v>59</v>
      </c>
      <c r="B6" s="9" t="s">
        <v>65</v>
      </c>
      <c r="C6" s="9" t="s">
        <v>66</v>
      </c>
      <c r="D6" s="9" t="s">
        <v>67</v>
      </c>
      <c r="E6" s="33" t="str">
        <f t="shared" si="0"/>
        <v xml:space="preserve">        |- 光纤激光系统</v>
      </c>
      <c r="F6" s="24">
        <f t="shared" si="1"/>
        <v>3</v>
      </c>
      <c r="G6" s="24" t="str">
        <f t="shared" si="2"/>
        <v>A01_01</v>
      </c>
      <c r="H6" s="24" t="str">
        <f t="shared" si="3"/>
        <v>A/A01</v>
      </c>
      <c r="I6" s="24" t="str">
        <f t="shared" si="4"/>
        <v>A01</v>
      </c>
      <c r="J6" s="24" t="str">
        <f t="shared" si="5"/>
        <v>OK</v>
      </c>
      <c r="K6" s="24" t="str">
        <f>IF(C6="","",IF(LEN(C6)-LEN(SUBSTITUTE(C6,"/",""))+1=1,"TOP",IF(COUNTIF($C$4:INDEX($C:$C,ROW()-1),IFERROR(LEFT(C6,FIND("@",SUBSTITUTE(C6,"/","@",LEN(C6)-LEN(SUBSTITUTE(C6,"/",""))))-1),"ROOT"))&gt;0,"OK","CHECK")))</f>
        <v>OK</v>
      </c>
      <c r="L6" s="24" t="str">
        <f t="shared" si="6"/>
        <v>OK</v>
      </c>
      <c r="M6" s="24" t="str">
        <f t="shared" si="7"/>
        <v>OK</v>
      </c>
      <c r="N6" s="24" t="str">
        <f t="shared" si="8"/>
        <v>OK</v>
      </c>
    </row>
    <row r="7" spans="1:14" ht="22" customHeight="1" x14ac:dyDescent="0.25">
      <c r="A7" s="24" t="s">
        <v>59</v>
      </c>
      <c r="B7" s="9" t="s">
        <v>68</v>
      </c>
      <c r="C7" s="9" t="s">
        <v>69</v>
      </c>
      <c r="D7" s="9" t="s">
        <v>70</v>
      </c>
      <c r="E7" s="33" t="str">
        <f t="shared" si="0"/>
        <v xml:space="preserve">            |- 连续光源系列</v>
      </c>
      <c r="F7" s="24">
        <f t="shared" si="1"/>
        <v>4</v>
      </c>
      <c r="G7" s="24" t="str">
        <f t="shared" si="2"/>
        <v>A01_01_001</v>
      </c>
      <c r="H7" s="24" t="str">
        <f t="shared" si="3"/>
        <v>A/A01/A01_01</v>
      </c>
      <c r="I7" s="24" t="str">
        <f t="shared" si="4"/>
        <v>A01_01</v>
      </c>
      <c r="J7" s="24" t="str">
        <f t="shared" si="5"/>
        <v>OK</v>
      </c>
      <c r="K7" s="24" t="str">
        <f>IF(C7="","",IF(LEN(C7)-LEN(SUBSTITUTE(C7,"/",""))+1=1,"TOP",IF(COUNTIF($C$4:INDEX($C:$C,ROW()-1),IFERROR(LEFT(C7,FIND("@",SUBSTITUTE(C7,"/","@",LEN(C7)-LEN(SUBSTITUTE(C7,"/",""))))-1),"ROOT"))&gt;0,"OK","CHECK")))</f>
        <v>OK</v>
      </c>
      <c r="L7" s="24" t="str">
        <f t="shared" si="6"/>
        <v>OK</v>
      </c>
      <c r="M7" s="24" t="str">
        <f t="shared" si="7"/>
        <v>OK</v>
      </c>
      <c r="N7" s="24" t="str">
        <f t="shared" si="8"/>
        <v>OK</v>
      </c>
    </row>
    <row r="8" spans="1:14" ht="22" customHeight="1" x14ac:dyDescent="0.25">
      <c r="A8" s="24" t="s">
        <v>59</v>
      </c>
      <c r="B8" s="9" t="s">
        <v>71</v>
      </c>
      <c r="C8" s="9" t="s">
        <v>72</v>
      </c>
      <c r="D8" s="9" t="s">
        <v>73</v>
      </c>
      <c r="E8" s="33" t="str">
        <f t="shared" si="0"/>
        <v xml:space="preserve">                |- 连续单频激光器</v>
      </c>
      <c r="F8" s="24">
        <f t="shared" si="1"/>
        <v>5</v>
      </c>
      <c r="G8" s="24" t="str">
        <f t="shared" si="2"/>
        <v>A01_01_001_01</v>
      </c>
      <c r="H8" s="24" t="str">
        <f t="shared" si="3"/>
        <v>A/A01/A01_01/A01_01_001</v>
      </c>
      <c r="I8" s="24" t="str">
        <f t="shared" si="4"/>
        <v>A01_01_001</v>
      </c>
      <c r="J8" s="24" t="str">
        <f t="shared" si="5"/>
        <v>OK</v>
      </c>
      <c r="K8" s="24" t="str">
        <f>IF(C8="","",IF(LEN(C8)-LEN(SUBSTITUTE(C8,"/",""))+1=1,"TOP",IF(COUNTIF($C$4:INDEX($C:$C,ROW()-1),IFERROR(LEFT(C8,FIND("@",SUBSTITUTE(C8,"/","@",LEN(C8)-LEN(SUBSTITUTE(C8,"/",""))))-1),"ROOT"))&gt;0,"OK","CHECK")))</f>
        <v>OK</v>
      </c>
      <c r="L8" s="24" t="str">
        <f t="shared" si="6"/>
        <v>OK</v>
      </c>
      <c r="M8" s="24" t="str">
        <f t="shared" si="7"/>
        <v>OK</v>
      </c>
      <c r="N8" s="24" t="str">
        <f t="shared" si="8"/>
        <v>OK</v>
      </c>
    </row>
    <row r="9" spans="1:14" ht="22" customHeight="1" x14ac:dyDescent="0.25">
      <c r="A9" s="27"/>
      <c r="B9" s="10"/>
      <c r="C9" s="10"/>
      <c r="D9" s="10"/>
      <c r="E9" s="34" t="str">
        <f t="shared" si="0"/>
        <v/>
      </c>
      <c r="F9" s="25" t="str">
        <f t="shared" si="1"/>
        <v/>
      </c>
      <c r="G9" s="25" t="str">
        <f t="shared" si="2"/>
        <v/>
      </c>
      <c r="H9" s="25" t="str">
        <f t="shared" si="3"/>
        <v/>
      </c>
      <c r="I9" s="25" t="str">
        <f t="shared" si="4"/>
        <v/>
      </c>
      <c r="J9" s="26" t="str">
        <f t="shared" si="5"/>
        <v/>
      </c>
      <c r="K9" s="26" t="str">
        <f>IF(C9="","",IF(LEN(C9)-LEN(SUBSTITUTE(C9,"/",""))+1=1,"TOP",IF(COUNTIF($C$4:INDEX($C:$C,ROW()-1),IFERROR(LEFT(C9,FIND("@",SUBSTITUTE(C9,"/","@",LEN(C9)-LEN(SUBSTITUTE(C9,"/",""))))-1),"ROOT"))&gt;0,"OK","CHECK")))</f>
        <v/>
      </c>
      <c r="L9" s="26" t="str">
        <f t="shared" si="6"/>
        <v/>
      </c>
      <c r="M9" s="26" t="str">
        <f t="shared" si="7"/>
        <v/>
      </c>
      <c r="N9" s="26" t="str">
        <f t="shared" si="8"/>
        <v/>
      </c>
    </row>
    <row r="10" spans="1:14" ht="22" customHeight="1" x14ac:dyDescent="0.25">
      <c r="A10" s="27"/>
      <c r="B10" s="10"/>
      <c r="C10" s="10"/>
      <c r="D10" s="10"/>
      <c r="E10" s="34" t="str">
        <f t="shared" si="0"/>
        <v/>
      </c>
      <c r="F10" s="25" t="str">
        <f t="shared" si="1"/>
        <v/>
      </c>
      <c r="G10" s="25" t="str">
        <f t="shared" si="2"/>
        <v/>
      </c>
      <c r="H10" s="25" t="str">
        <f t="shared" si="3"/>
        <v/>
      </c>
      <c r="I10" s="25" t="str">
        <f t="shared" si="4"/>
        <v/>
      </c>
      <c r="J10" s="26" t="str">
        <f t="shared" si="5"/>
        <v/>
      </c>
      <c r="K10" s="26" t="str">
        <f>IF(C10="","",IF(LEN(C10)-LEN(SUBSTITUTE(C10,"/",""))+1=1,"TOP",IF(COUNTIF($C$4:INDEX($C:$C,ROW()-1),IFERROR(LEFT(C10,FIND("@",SUBSTITUTE(C10,"/","@",LEN(C10)-LEN(SUBSTITUTE(C10,"/",""))))-1),"ROOT"))&gt;0,"OK","CHECK")))</f>
        <v/>
      </c>
      <c r="L10" s="26" t="str">
        <f t="shared" si="6"/>
        <v/>
      </c>
      <c r="M10" s="26" t="str">
        <f t="shared" si="7"/>
        <v/>
      </c>
      <c r="N10" s="26" t="str">
        <f t="shared" si="8"/>
        <v/>
      </c>
    </row>
    <row r="11" spans="1:14" ht="22" customHeight="1" x14ac:dyDescent="0.25">
      <c r="A11" s="27"/>
      <c r="B11" s="10"/>
      <c r="C11" s="10"/>
      <c r="D11" s="10"/>
      <c r="E11" s="34" t="str">
        <f t="shared" si="0"/>
        <v/>
      </c>
      <c r="F11" s="25" t="str">
        <f t="shared" si="1"/>
        <v/>
      </c>
      <c r="G11" s="25" t="str">
        <f t="shared" si="2"/>
        <v/>
      </c>
      <c r="H11" s="25" t="str">
        <f t="shared" si="3"/>
        <v/>
      </c>
      <c r="I11" s="25" t="str">
        <f t="shared" si="4"/>
        <v/>
      </c>
      <c r="J11" s="26" t="str">
        <f t="shared" si="5"/>
        <v/>
      </c>
      <c r="K11" s="26" t="str">
        <f>IF(C11="","",IF(LEN(C11)-LEN(SUBSTITUTE(C11,"/",""))+1=1,"TOP",IF(COUNTIF($C$4:INDEX($C:$C,ROW()-1),IFERROR(LEFT(C11,FIND("@",SUBSTITUTE(C11,"/","@",LEN(C11)-LEN(SUBSTITUTE(C11,"/",""))))-1),"ROOT"))&gt;0,"OK","CHECK")))</f>
        <v/>
      </c>
      <c r="L11" s="26" t="str">
        <f t="shared" si="6"/>
        <v/>
      </c>
      <c r="M11" s="26" t="str">
        <f t="shared" si="7"/>
        <v/>
      </c>
      <c r="N11" s="26" t="str">
        <f t="shared" si="8"/>
        <v/>
      </c>
    </row>
    <row r="12" spans="1:14" ht="22" customHeight="1" x14ac:dyDescent="0.25">
      <c r="A12" s="27"/>
      <c r="B12" s="10"/>
      <c r="C12" s="10"/>
      <c r="D12" s="10"/>
      <c r="E12" s="34" t="str">
        <f t="shared" si="0"/>
        <v/>
      </c>
      <c r="F12" s="25" t="str">
        <f t="shared" si="1"/>
        <v/>
      </c>
      <c r="G12" s="25" t="str">
        <f t="shared" si="2"/>
        <v/>
      </c>
      <c r="H12" s="25" t="str">
        <f t="shared" si="3"/>
        <v/>
      </c>
      <c r="I12" s="25" t="str">
        <f t="shared" si="4"/>
        <v/>
      </c>
      <c r="J12" s="26" t="str">
        <f t="shared" si="5"/>
        <v/>
      </c>
      <c r="K12" s="26" t="str">
        <f>IF(C12="","",IF(LEN(C12)-LEN(SUBSTITUTE(C12,"/",""))+1=1,"TOP",IF(COUNTIF($C$4:INDEX($C:$C,ROW()-1),IFERROR(LEFT(C12,FIND("@",SUBSTITUTE(C12,"/","@",LEN(C12)-LEN(SUBSTITUTE(C12,"/",""))))-1),"ROOT"))&gt;0,"OK","CHECK")))</f>
        <v/>
      </c>
      <c r="L12" s="26" t="str">
        <f t="shared" si="6"/>
        <v/>
      </c>
      <c r="M12" s="26" t="str">
        <f t="shared" si="7"/>
        <v/>
      </c>
      <c r="N12" s="26" t="str">
        <f t="shared" si="8"/>
        <v/>
      </c>
    </row>
    <row r="13" spans="1:14" ht="22" customHeight="1" x14ac:dyDescent="0.25">
      <c r="A13" s="27"/>
      <c r="B13" s="10"/>
      <c r="C13" s="10"/>
      <c r="D13" s="10"/>
      <c r="E13" s="34" t="str">
        <f t="shared" si="0"/>
        <v/>
      </c>
      <c r="F13" s="25" t="str">
        <f t="shared" si="1"/>
        <v/>
      </c>
      <c r="G13" s="25" t="str">
        <f t="shared" si="2"/>
        <v/>
      </c>
      <c r="H13" s="25" t="str">
        <f t="shared" si="3"/>
        <v/>
      </c>
      <c r="I13" s="25" t="str">
        <f t="shared" si="4"/>
        <v/>
      </c>
      <c r="J13" s="26" t="str">
        <f t="shared" si="5"/>
        <v/>
      </c>
      <c r="K13" s="26" t="str">
        <f>IF(C13="","",IF(LEN(C13)-LEN(SUBSTITUTE(C13,"/",""))+1=1,"TOP",IF(COUNTIF($C$4:INDEX($C:$C,ROW()-1),IFERROR(LEFT(C13,FIND("@",SUBSTITUTE(C13,"/","@",LEN(C13)-LEN(SUBSTITUTE(C13,"/",""))))-1),"ROOT"))&gt;0,"OK","CHECK")))</f>
        <v/>
      </c>
      <c r="L13" s="26" t="str">
        <f t="shared" si="6"/>
        <v/>
      </c>
      <c r="M13" s="26" t="str">
        <f t="shared" si="7"/>
        <v/>
      </c>
      <c r="N13" s="26" t="str">
        <f t="shared" si="8"/>
        <v/>
      </c>
    </row>
    <row r="14" spans="1:14" ht="22" customHeight="1" x14ac:dyDescent="0.25">
      <c r="A14" s="27"/>
      <c r="B14" s="10"/>
      <c r="C14" s="10"/>
      <c r="D14" s="10"/>
      <c r="E14" s="34" t="str">
        <f t="shared" si="0"/>
        <v/>
      </c>
      <c r="F14" s="25" t="str">
        <f t="shared" si="1"/>
        <v/>
      </c>
      <c r="G14" s="25" t="str">
        <f t="shared" si="2"/>
        <v/>
      </c>
      <c r="H14" s="25" t="str">
        <f t="shared" si="3"/>
        <v/>
      </c>
      <c r="I14" s="25" t="str">
        <f t="shared" si="4"/>
        <v/>
      </c>
      <c r="J14" s="26" t="str">
        <f t="shared" si="5"/>
        <v/>
      </c>
      <c r="K14" s="26" t="str">
        <f>IF(C14="","",IF(LEN(C14)-LEN(SUBSTITUTE(C14,"/",""))+1=1,"TOP",IF(COUNTIF($C$4:INDEX($C:$C,ROW()-1),IFERROR(LEFT(C14,FIND("@",SUBSTITUTE(C14,"/","@",LEN(C14)-LEN(SUBSTITUTE(C14,"/",""))))-1),"ROOT"))&gt;0,"OK","CHECK")))</f>
        <v/>
      </c>
      <c r="L14" s="26" t="str">
        <f t="shared" si="6"/>
        <v/>
      </c>
      <c r="M14" s="26" t="str">
        <f t="shared" si="7"/>
        <v/>
      </c>
      <c r="N14" s="26" t="str">
        <f t="shared" si="8"/>
        <v/>
      </c>
    </row>
    <row r="15" spans="1:14" ht="22" customHeight="1" x14ac:dyDescent="0.25">
      <c r="A15" s="27"/>
      <c r="B15" s="10"/>
      <c r="C15" s="10"/>
      <c r="D15" s="10"/>
      <c r="E15" s="34" t="str">
        <f t="shared" si="0"/>
        <v/>
      </c>
      <c r="F15" s="25" t="str">
        <f t="shared" si="1"/>
        <v/>
      </c>
      <c r="G15" s="25" t="str">
        <f t="shared" si="2"/>
        <v/>
      </c>
      <c r="H15" s="25" t="str">
        <f t="shared" si="3"/>
        <v/>
      </c>
      <c r="I15" s="25" t="str">
        <f t="shared" si="4"/>
        <v/>
      </c>
      <c r="J15" s="26" t="str">
        <f t="shared" si="5"/>
        <v/>
      </c>
      <c r="K15" s="26" t="str">
        <f>IF(C15="","",IF(LEN(C15)-LEN(SUBSTITUTE(C15,"/",""))+1=1,"TOP",IF(COUNTIF($C$4:INDEX($C:$C,ROW()-1),IFERROR(LEFT(C15,FIND("@",SUBSTITUTE(C15,"/","@",LEN(C15)-LEN(SUBSTITUTE(C15,"/",""))))-1),"ROOT"))&gt;0,"OK","CHECK")))</f>
        <v/>
      </c>
      <c r="L15" s="26" t="str">
        <f t="shared" si="6"/>
        <v/>
      </c>
      <c r="M15" s="26" t="str">
        <f t="shared" si="7"/>
        <v/>
      </c>
      <c r="N15" s="26" t="str">
        <f t="shared" si="8"/>
        <v/>
      </c>
    </row>
    <row r="16" spans="1:14" ht="22" customHeight="1" x14ac:dyDescent="0.25">
      <c r="A16" s="27"/>
      <c r="B16" s="10"/>
      <c r="C16" s="10"/>
      <c r="D16" s="10"/>
      <c r="E16" s="34" t="str">
        <f t="shared" si="0"/>
        <v/>
      </c>
      <c r="F16" s="25" t="str">
        <f t="shared" si="1"/>
        <v/>
      </c>
      <c r="G16" s="25" t="str">
        <f t="shared" si="2"/>
        <v/>
      </c>
      <c r="H16" s="25" t="str">
        <f t="shared" si="3"/>
        <v/>
      </c>
      <c r="I16" s="25" t="str">
        <f t="shared" si="4"/>
        <v/>
      </c>
      <c r="J16" s="26" t="str">
        <f t="shared" si="5"/>
        <v/>
      </c>
      <c r="K16" s="26" t="str">
        <f>IF(C16="","",IF(LEN(C16)-LEN(SUBSTITUTE(C16,"/",""))+1=1,"TOP",IF(COUNTIF($C$4:INDEX($C:$C,ROW()-1),IFERROR(LEFT(C16,FIND("@",SUBSTITUTE(C16,"/","@",LEN(C16)-LEN(SUBSTITUTE(C16,"/",""))))-1),"ROOT"))&gt;0,"OK","CHECK")))</f>
        <v/>
      </c>
      <c r="L16" s="26" t="str">
        <f t="shared" si="6"/>
        <v/>
      </c>
      <c r="M16" s="26" t="str">
        <f t="shared" si="7"/>
        <v/>
      </c>
      <c r="N16" s="26" t="str">
        <f t="shared" si="8"/>
        <v/>
      </c>
    </row>
    <row r="17" spans="1:14" ht="22" customHeight="1" x14ac:dyDescent="0.25">
      <c r="A17" s="27"/>
      <c r="B17" s="10"/>
      <c r="C17" s="10"/>
      <c r="D17" s="10"/>
      <c r="E17" s="34" t="str">
        <f t="shared" si="0"/>
        <v/>
      </c>
      <c r="F17" s="25" t="str">
        <f t="shared" si="1"/>
        <v/>
      </c>
      <c r="G17" s="25" t="str">
        <f t="shared" si="2"/>
        <v/>
      </c>
      <c r="H17" s="25" t="str">
        <f t="shared" si="3"/>
        <v/>
      </c>
      <c r="I17" s="25" t="str">
        <f t="shared" si="4"/>
        <v/>
      </c>
      <c r="J17" s="26" t="str">
        <f t="shared" si="5"/>
        <v/>
      </c>
      <c r="K17" s="26" t="str">
        <f>IF(C17="","",IF(LEN(C17)-LEN(SUBSTITUTE(C17,"/",""))+1=1,"TOP",IF(COUNTIF($C$4:INDEX($C:$C,ROW()-1),IFERROR(LEFT(C17,FIND("@",SUBSTITUTE(C17,"/","@",LEN(C17)-LEN(SUBSTITUTE(C17,"/",""))))-1),"ROOT"))&gt;0,"OK","CHECK")))</f>
        <v/>
      </c>
      <c r="L17" s="26" t="str">
        <f t="shared" si="6"/>
        <v/>
      </c>
      <c r="M17" s="26" t="str">
        <f t="shared" si="7"/>
        <v/>
      </c>
      <c r="N17" s="26" t="str">
        <f t="shared" si="8"/>
        <v/>
      </c>
    </row>
    <row r="18" spans="1:14" ht="22" customHeight="1" x14ac:dyDescent="0.25">
      <c r="A18" s="27"/>
      <c r="B18" s="10"/>
      <c r="C18" s="10"/>
      <c r="D18" s="10"/>
      <c r="E18" s="34" t="str">
        <f t="shared" si="0"/>
        <v/>
      </c>
      <c r="F18" s="25" t="str">
        <f t="shared" si="1"/>
        <v/>
      </c>
      <c r="G18" s="25" t="str">
        <f t="shared" si="2"/>
        <v/>
      </c>
      <c r="H18" s="25" t="str">
        <f t="shared" si="3"/>
        <v/>
      </c>
      <c r="I18" s="25" t="str">
        <f t="shared" si="4"/>
        <v/>
      </c>
      <c r="J18" s="26" t="str">
        <f t="shared" si="5"/>
        <v/>
      </c>
      <c r="K18" s="26" t="str">
        <f>IF(C18="","",IF(LEN(C18)-LEN(SUBSTITUTE(C18,"/",""))+1=1,"TOP",IF(COUNTIF($C$4:INDEX($C:$C,ROW()-1),IFERROR(LEFT(C18,FIND("@",SUBSTITUTE(C18,"/","@",LEN(C18)-LEN(SUBSTITUTE(C18,"/",""))))-1),"ROOT"))&gt;0,"OK","CHECK")))</f>
        <v/>
      </c>
      <c r="L18" s="26" t="str">
        <f t="shared" si="6"/>
        <v/>
      </c>
      <c r="M18" s="26" t="str">
        <f t="shared" si="7"/>
        <v/>
      </c>
      <c r="N18" s="26" t="str">
        <f t="shared" si="8"/>
        <v/>
      </c>
    </row>
    <row r="19" spans="1:14" ht="22" customHeight="1" x14ac:dyDescent="0.25">
      <c r="A19" s="27"/>
      <c r="B19" s="10"/>
      <c r="C19" s="10"/>
      <c r="D19" s="10"/>
      <c r="E19" s="34" t="str">
        <f t="shared" si="0"/>
        <v/>
      </c>
      <c r="F19" s="25" t="str">
        <f t="shared" si="1"/>
        <v/>
      </c>
      <c r="G19" s="25" t="str">
        <f t="shared" si="2"/>
        <v/>
      </c>
      <c r="H19" s="25" t="str">
        <f t="shared" si="3"/>
        <v/>
      </c>
      <c r="I19" s="25" t="str">
        <f t="shared" si="4"/>
        <v/>
      </c>
      <c r="J19" s="26" t="str">
        <f t="shared" si="5"/>
        <v/>
      </c>
      <c r="K19" s="26" t="str">
        <f>IF(C19="","",IF(LEN(C19)-LEN(SUBSTITUTE(C19,"/",""))+1=1,"TOP",IF(COUNTIF($C$4:INDEX($C:$C,ROW()-1),IFERROR(LEFT(C19,FIND("@",SUBSTITUTE(C19,"/","@",LEN(C19)-LEN(SUBSTITUTE(C19,"/",""))))-1),"ROOT"))&gt;0,"OK","CHECK")))</f>
        <v/>
      </c>
      <c r="L19" s="26" t="str">
        <f t="shared" si="6"/>
        <v/>
      </c>
      <c r="M19" s="26" t="str">
        <f t="shared" si="7"/>
        <v/>
      </c>
      <c r="N19" s="26" t="str">
        <f t="shared" si="8"/>
        <v/>
      </c>
    </row>
    <row r="20" spans="1:14" ht="22" customHeight="1" x14ac:dyDescent="0.25">
      <c r="A20" s="27"/>
      <c r="B20" s="10"/>
      <c r="C20" s="10"/>
      <c r="D20" s="10"/>
      <c r="E20" s="34" t="str">
        <f t="shared" si="0"/>
        <v/>
      </c>
      <c r="F20" s="25" t="str">
        <f t="shared" si="1"/>
        <v/>
      </c>
      <c r="G20" s="25" t="str">
        <f t="shared" si="2"/>
        <v/>
      </c>
      <c r="H20" s="25" t="str">
        <f t="shared" si="3"/>
        <v/>
      </c>
      <c r="I20" s="25" t="str">
        <f t="shared" si="4"/>
        <v/>
      </c>
      <c r="J20" s="26" t="str">
        <f t="shared" si="5"/>
        <v/>
      </c>
      <c r="K20" s="26" t="str">
        <f>IF(C20="","",IF(LEN(C20)-LEN(SUBSTITUTE(C20,"/",""))+1=1,"TOP",IF(COUNTIF($C$4:INDEX($C:$C,ROW()-1),IFERROR(LEFT(C20,FIND("@",SUBSTITUTE(C20,"/","@",LEN(C20)-LEN(SUBSTITUTE(C20,"/",""))))-1),"ROOT"))&gt;0,"OK","CHECK")))</f>
        <v/>
      </c>
      <c r="L20" s="26" t="str">
        <f t="shared" si="6"/>
        <v/>
      </c>
      <c r="M20" s="26" t="str">
        <f t="shared" si="7"/>
        <v/>
      </c>
      <c r="N20" s="26" t="str">
        <f t="shared" si="8"/>
        <v/>
      </c>
    </row>
    <row r="21" spans="1:14" ht="22" customHeight="1" x14ac:dyDescent="0.25">
      <c r="A21" s="27"/>
      <c r="B21" s="10"/>
      <c r="C21" s="10"/>
      <c r="D21" s="10"/>
      <c r="E21" s="34" t="str">
        <f t="shared" si="0"/>
        <v/>
      </c>
      <c r="F21" s="25" t="str">
        <f t="shared" si="1"/>
        <v/>
      </c>
      <c r="G21" s="25" t="str">
        <f t="shared" si="2"/>
        <v/>
      </c>
      <c r="H21" s="25" t="str">
        <f t="shared" si="3"/>
        <v/>
      </c>
      <c r="I21" s="25" t="str">
        <f t="shared" si="4"/>
        <v/>
      </c>
      <c r="J21" s="26" t="str">
        <f t="shared" si="5"/>
        <v/>
      </c>
      <c r="K21" s="26" t="str">
        <f>IF(C21="","",IF(LEN(C21)-LEN(SUBSTITUTE(C21,"/",""))+1=1,"TOP",IF(COUNTIF($C$4:INDEX($C:$C,ROW()-1),IFERROR(LEFT(C21,FIND("@",SUBSTITUTE(C21,"/","@",LEN(C21)-LEN(SUBSTITUTE(C21,"/",""))))-1),"ROOT"))&gt;0,"OK","CHECK")))</f>
        <v/>
      </c>
      <c r="L21" s="26" t="str">
        <f t="shared" si="6"/>
        <v/>
      </c>
      <c r="M21" s="26" t="str">
        <f t="shared" si="7"/>
        <v/>
      </c>
      <c r="N21" s="26" t="str">
        <f t="shared" si="8"/>
        <v/>
      </c>
    </row>
    <row r="22" spans="1:14" ht="22" customHeight="1" x14ac:dyDescent="0.25">
      <c r="A22" s="27"/>
      <c r="B22" s="10"/>
      <c r="C22" s="10"/>
      <c r="D22" s="10"/>
      <c r="E22" s="34" t="str">
        <f t="shared" si="0"/>
        <v/>
      </c>
      <c r="F22" s="25" t="str">
        <f t="shared" si="1"/>
        <v/>
      </c>
      <c r="G22" s="25" t="str">
        <f t="shared" si="2"/>
        <v/>
      </c>
      <c r="H22" s="25" t="str">
        <f t="shared" si="3"/>
        <v/>
      </c>
      <c r="I22" s="25" t="str">
        <f t="shared" si="4"/>
        <v/>
      </c>
      <c r="J22" s="26" t="str">
        <f t="shared" si="5"/>
        <v/>
      </c>
      <c r="K22" s="26" t="str">
        <f>IF(C22="","",IF(LEN(C22)-LEN(SUBSTITUTE(C22,"/",""))+1=1,"TOP",IF(COUNTIF($C$4:INDEX($C:$C,ROW()-1),IFERROR(LEFT(C22,FIND("@",SUBSTITUTE(C22,"/","@",LEN(C22)-LEN(SUBSTITUTE(C22,"/",""))))-1),"ROOT"))&gt;0,"OK","CHECK")))</f>
        <v/>
      </c>
      <c r="L22" s="26" t="str">
        <f t="shared" si="6"/>
        <v/>
      </c>
      <c r="M22" s="26" t="str">
        <f t="shared" si="7"/>
        <v/>
      </c>
      <c r="N22" s="26" t="str">
        <f t="shared" si="8"/>
        <v/>
      </c>
    </row>
    <row r="23" spans="1:14" ht="22" customHeight="1" x14ac:dyDescent="0.25">
      <c r="A23" s="27"/>
      <c r="B23" s="10"/>
      <c r="C23" s="10"/>
      <c r="D23" s="10"/>
      <c r="E23" s="34" t="str">
        <f t="shared" si="0"/>
        <v/>
      </c>
      <c r="F23" s="25" t="str">
        <f t="shared" si="1"/>
        <v/>
      </c>
      <c r="G23" s="25" t="str">
        <f t="shared" si="2"/>
        <v/>
      </c>
      <c r="H23" s="25" t="str">
        <f t="shared" si="3"/>
        <v/>
      </c>
      <c r="I23" s="25" t="str">
        <f t="shared" si="4"/>
        <v/>
      </c>
      <c r="J23" s="26" t="str">
        <f t="shared" si="5"/>
        <v/>
      </c>
      <c r="K23" s="26" t="str">
        <f>IF(C23="","",IF(LEN(C23)-LEN(SUBSTITUTE(C23,"/",""))+1=1,"TOP",IF(COUNTIF($C$4:INDEX($C:$C,ROW()-1),IFERROR(LEFT(C23,FIND("@",SUBSTITUTE(C23,"/","@",LEN(C23)-LEN(SUBSTITUTE(C23,"/",""))))-1),"ROOT"))&gt;0,"OK","CHECK")))</f>
        <v/>
      </c>
      <c r="L23" s="26" t="str">
        <f t="shared" si="6"/>
        <v/>
      </c>
      <c r="M23" s="26" t="str">
        <f t="shared" si="7"/>
        <v/>
      </c>
      <c r="N23" s="26" t="str">
        <f t="shared" si="8"/>
        <v/>
      </c>
    </row>
    <row r="24" spans="1:14" ht="22" customHeight="1" x14ac:dyDescent="0.25">
      <c r="A24" s="27"/>
      <c r="B24" s="10"/>
      <c r="C24" s="10"/>
      <c r="D24" s="10"/>
      <c r="E24" s="34" t="str">
        <f t="shared" si="0"/>
        <v/>
      </c>
      <c r="F24" s="25" t="str">
        <f t="shared" si="1"/>
        <v/>
      </c>
      <c r="G24" s="25" t="str">
        <f t="shared" si="2"/>
        <v/>
      </c>
      <c r="H24" s="25" t="str">
        <f t="shared" si="3"/>
        <v/>
      </c>
      <c r="I24" s="25" t="str">
        <f t="shared" si="4"/>
        <v/>
      </c>
      <c r="J24" s="26" t="str">
        <f t="shared" si="5"/>
        <v/>
      </c>
      <c r="K24" s="26" t="str">
        <f>IF(C24="","",IF(LEN(C24)-LEN(SUBSTITUTE(C24,"/",""))+1=1,"TOP",IF(COUNTIF($C$4:INDEX($C:$C,ROW()-1),IFERROR(LEFT(C24,FIND("@",SUBSTITUTE(C24,"/","@",LEN(C24)-LEN(SUBSTITUTE(C24,"/",""))))-1),"ROOT"))&gt;0,"OK","CHECK")))</f>
        <v/>
      </c>
      <c r="L24" s="26" t="str">
        <f t="shared" si="6"/>
        <v/>
      </c>
      <c r="M24" s="26" t="str">
        <f t="shared" si="7"/>
        <v/>
      </c>
      <c r="N24" s="26" t="str">
        <f t="shared" si="8"/>
        <v/>
      </c>
    </row>
    <row r="25" spans="1:14" ht="22" customHeight="1" x14ac:dyDescent="0.25">
      <c r="A25" s="27"/>
      <c r="B25" s="10"/>
      <c r="C25" s="10"/>
      <c r="D25" s="10"/>
      <c r="E25" s="34" t="str">
        <f t="shared" si="0"/>
        <v/>
      </c>
      <c r="F25" s="25" t="str">
        <f t="shared" si="1"/>
        <v/>
      </c>
      <c r="G25" s="25" t="str">
        <f t="shared" si="2"/>
        <v/>
      </c>
      <c r="H25" s="25" t="str">
        <f t="shared" si="3"/>
        <v/>
      </c>
      <c r="I25" s="25" t="str">
        <f t="shared" si="4"/>
        <v/>
      </c>
      <c r="J25" s="26" t="str">
        <f t="shared" si="5"/>
        <v/>
      </c>
      <c r="K25" s="26" t="str">
        <f>IF(C25="","",IF(LEN(C25)-LEN(SUBSTITUTE(C25,"/",""))+1=1,"TOP",IF(COUNTIF($C$4:INDEX($C:$C,ROW()-1),IFERROR(LEFT(C25,FIND("@",SUBSTITUTE(C25,"/","@",LEN(C25)-LEN(SUBSTITUTE(C25,"/",""))))-1),"ROOT"))&gt;0,"OK","CHECK")))</f>
        <v/>
      </c>
      <c r="L25" s="26" t="str">
        <f t="shared" si="6"/>
        <v/>
      </c>
      <c r="M25" s="26" t="str">
        <f t="shared" si="7"/>
        <v/>
      </c>
      <c r="N25" s="26" t="str">
        <f t="shared" si="8"/>
        <v/>
      </c>
    </row>
    <row r="26" spans="1:14" ht="22" customHeight="1" x14ac:dyDescent="0.25">
      <c r="A26" s="27"/>
      <c r="B26" s="10"/>
      <c r="C26" s="10"/>
      <c r="D26" s="10"/>
      <c r="E26" s="34" t="str">
        <f t="shared" si="0"/>
        <v/>
      </c>
      <c r="F26" s="25" t="str">
        <f t="shared" si="1"/>
        <v/>
      </c>
      <c r="G26" s="25" t="str">
        <f t="shared" si="2"/>
        <v/>
      </c>
      <c r="H26" s="25" t="str">
        <f t="shared" si="3"/>
        <v/>
      </c>
      <c r="I26" s="25" t="str">
        <f t="shared" si="4"/>
        <v/>
      </c>
      <c r="J26" s="26" t="str">
        <f t="shared" si="5"/>
        <v/>
      </c>
      <c r="K26" s="26" t="str">
        <f>IF(C26="","",IF(LEN(C26)-LEN(SUBSTITUTE(C26,"/",""))+1=1,"TOP",IF(COUNTIF($C$4:INDEX($C:$C,ROW()-1),IFERROR(LEFT(C26,FIND("@",SUBSTITUTE(C26,"/","@",LEN(C26)-LEN(SUBSTITUTE(C26,"/",""))))-1),"ROOT"))&gt;0,"OK","CHECK")))</f>
        <v/>
      </c>
      <c r="L26" s="26" t="str">
        <f t="shared" si="6"/>
        <v/>
      </c>
      <c r="M26" s="26" t="str">
        <f t="shared" si="7"/>
        <v/>
      </c>
      <c r="N26" s="26" t="str">
        <f t="shared" si="8"/>
        <v/>
      </c>
    </row>
    <row r="27" spans="1:14" ht="22" customHeight="1" x14ac:dyDescent="0.25">
      <c r="A27" s="27"/>
      <c r="B27" s="10"/>
      <c r="C27" s="10"/>
      <c r="D27" s="10"/>
      <c r="E27" s="34" t="str">
        <f t="shared" si="0"/>
        <v/>
      </c>
      <c r="F27" s="25" t="str">
        <f t="shared" si="1"/>
        <v/>
      </c>
      <c r="G27" s="25" t="str">
        <f t="shared" si="2"/>
        <v/>
      </c>
      <c r="H27" s="25" t="str">
        <f t="shared" si="3"/>
        <v/>
      </c>
      <c r="I27" s="25" t="str">
        <f t="shared" si="4"/>
        <v/>
      </c>
      <c r="J27" s="26" t="str">
        <f t="shared" si="5"/>
        <v/>
      </c>
      <c r="K27" s="26" t="str">
        <f>IF(C27="","",IF(LEN(C27)-LEN(SUBSTITUTE(C27,"/",""))+1=1,"TOP",IF(COUNTIF($C$4:INDEX($C:$C,ROW()-1),IFERROR(LEFT(C27,FIND("@",SUBSTITUTE(C27,"/","@",LEN(C27)-LEN(SUBSTITUTE(C27,"/",""))))-1),"ROOT"))&gt;0,"OK","CHECK")))</f>
        <v/>
      </c>
      <c r="L27" s="26" t="str">
        <f t="shared" si="6"/>
        <v/>
      </c>
      <c r="M27" s="26" t="str">
        <f t="shared" si="7"/>
        <v/>
      </c>
      <c r="N27" s="26" t="str">
        <f t="shared" si="8"/>
        <v/>
      </c>
    </row>
    <row r="28" spans="1:14" ht="22" customHeight="1" x14ac:dyDescent="0.25">
      <c r="A28" s="27"/>
      <c r="B28" s="10"/>
      <c r="C28" s="10"/>
      <c r="D28" s="10"/>
      <c r="E28" s="34" t="str">
        <f t="shared" si="0"/>
        <v/>
      </c>
      <c r="F28" s="25" t="str">
        <f t="shared" si="1"/>
        <v/>
      </c>
      <c r="G28" s="25" t="str">
        <f t="shared" si="2"/>
        <v/>
      </c>
      <c r="H28" s="25" t="str">
        <f t="shared" si="3"/>
        <v/>
      </c>
      <c r="I28" s="25" t="str">
        <f t="shared" si="4"/>
        <v/>
      </c>
      <c r="J28" s="26" t="str">
        <f t="shared" si="5"/>
        <v/>
      </c>
      <c r="K28" s="26" t="str">
        <f>IF(C28="","",IF(LEN(C28)-LEN(SUBSTITUTE(C28,"/",""))+1=1,"TOP",IF(COUNTIF($C$4:INDEX($C:$C,ROW()-1),IFERROR(LEFT(C28,FIND("@",SUBSTITUTE(C28,"/","@",LEN(C28)-LEN(SUBSTITUTE(C28,"/",""))))-1),"ROOT"))&gt;0,"OK","CHECK")))</f>
        <v/>
      </c>
      <c r="L28" s="26" t="str">
        <f t="shared" si="6"/>
        <v/>
      </c>
      <c r="M28" s="26" t="str">
        <f t="shared" si="7"/>
        <v/>
      </c>
      <c r="N28" s="26" t="str">
        <f t="shared" si="8"/>
        <v/>
      </c>
    </row>
    <row r="29" spans="1:14" ht="22" customHeight="1" x14ac:dyDescent="0.25">
      <c r="A29" s="27"/>
      <c r="B29" s="10"/>
      <c r="C29" s="10"/>
      <c r="D29" s="10"/>
      <c r="E29" s="34" t="str">
        <f t="shared" si="0"/>
        <v/>
      </c>
      <c r="F29" s="25" t="str">
        <f t="shared" si="1"/>
        <v/>
      </c>
      <c r="G29" s="25" t="str">
        <f t="shared" si="2"/>
        <v/>
      </c>
      <c r="H29" s="25" t="str">
        <f t="shared" si="3"/>
        <v/>
      </c>
      <c r="I29" s="25" t="str">
        <f t="shared" si="4"/>
        <v/>
      </c>
      <c r="J29" s="26" t="str">
        <f t="shared" si="5"/>
        <v/>
      </c>
      <c r="K29" s="26" t="str">
        <f>IF(C29="","",IF(LEN(C29)-LEN(SUBSTITUTE(C29,"/",""))+1=1,"TOP",IF(COUNTIF($C$4:INDEX($C:$C,ROW()-1),IFERROR(LEFT(C29,FIND("@",SUBSTITUTE(C29,"/","@",LEN(C29)-LEN(SUBSTITUTE(C29,"/",""))))-1),"ROOT"))&gt;0,"OK","CHECK")))</f>
        <v/>
      </c>
      <c r="L29" s="26" t="str">
        <f t="shared" si="6"/>
        <v/>
      </c>
      <c r="M29" s="26" t="str">
        <f t="shared" si="7"/>
        <v/>
      </c>
      <c r="N29" s="26" t="str">
        <f t="shared" si="8"/>
        <v/>
      </c>
    </row>
    <row r="30" spans="1:14" ht="22" customHeight="1" x14ac:dyDescent="0.25">
      <c r="A30" s="27"/>
      <c r="B30" s="10"/>
      <c r="C30" s="10"/>
      <c r="D30" s="10"/>
      <c r="E30" s="34" t="str">
        <f t="shared" si="0"/>
        <v/>
      </c>
      <c r="F30" s="25" t="str">
        <f t="shared" si="1"/>
        <v/>
      </c>
      <c r="G30" s="25" t="str">
        <f t="shared" si="2"/>
        <v/>
      </c>
      <c r="H30" s="25" t="str">
        <f t="shared" si="3"/>
        <v/>
      </c>
      <c r="I30" s="25" t="str">
        <f t="shared" si="4"/>
        <v/>
      </c>
      <c r="J30" s="26" t="str">
        <f t="shared" si="5"/>
        <v/>
      </c>
      <c r="K30" s="26" t="str">
        <f>IF(C30="","",IF(LEN(C30)-LEN(SUBSTITUTE(C30,"/",""))+1=1,"TOP",IF(COUNTIF($C$4:INDEX($C:$C,ROW()-1),IFERROR(LEFT(C30,FIND("@",SUBSTITUTE(C30,"/","@",LEN(C30)-LEN(SUBSTITUTE(C30,"/",""))))-1),"ROOT"))&gt;0,"OK","CHECK")))</f>
        <v/>
      </c>
      <c r="L30" s="26" t="str">
        <f t="shared" si="6"/>
        <v/>
      </c>
      <c r="M30" s="26" t="str">
        <f t="shared" si="7"/>
        <v/>
      </c>
      <c r="N30" s="26" t="str">
        <f t="shared" si="8"/>
        <v/>
      </c>
    </row>
    <row r="31" spans="1:14" ht="22" customHeight="1" x14ac:dyDescent="0.25">
      <c r="A31" s="27"/>
      <c r="B31" s="10"/>
      <c r="C31" s="10"/>
      <c r="D31" s="10"/>
      <c r="E31" s="34" t="str">
        <f t="shared" si="0"/>
        <v/>
      </c>
      <c r="F31" s="25" t="str">
        <f t="shared" si="1"/>
        <v/>
      </c>
      <c r="G31" s="25" t="str">
        <f t="shared" si="2"/>
        <v/>
      </c>
      <c r="H31" s="25" t="str">
        <f t="shared" si="3"/>
        <v/>
      </c>
      <c r="I31" s="25" t="str">
        <f t="shared" si="4"/>
        <v/>
      </c>
      <c r="J31" s="26" t="str">
        <f t="shared" si="5"/>
        <v/>
      </c>
      <c r="K31" s="26" t="str">
        <f>IF(C31="","",IF(LEN(C31)-LEN(SUBSTITUTE(C31,"/",""))+1=1,"TOP",IF(COUNTIF($C$4:INDEX($C:$C,ROW()-1),IFERROR(LEFT(C31,FIND("@",SUBSTITUTE(C31,"/","@",LEN(C31)-LEN(SUBSTITUTE(C31,"/",""))))-1),"ROOT"))&gt;0,"OK","CHECK")))</f>
        <v/>
      </c>
      <c r="L31" s="26" t="str">
        <f t="shared" si="6"/>
        <v/>
      </c>
      <c r="M31" s="26" t="str">
        <f t="shared" si="7"/>
        <v/>
      </c>
      <c r="N31" s="26" t="str">
        <f t="shared" si="8"/>
        <v/>
      </c>
    </row>
    <row r="32" spans="1:14" ht="22" customHeight="1" x14ac:dyDescent="0.25">
      <c r="A32" s="27"/>
      <c r="B32" s="10"/>
      <c r="C32" s="10"/>
      <c r="D32" s="10"/>
      <c r="E32" s="34" t="str">
        <f t="shared" si="0"/>
        <v/>
      </c>
      <c r="F32" s="25" t="str">
        <f t="shared" si="1"/>
        <v/>
      </c>
      <c r="G32" s="25" t="str">
        <f t="shared" si="2"/>
        <v/>
      </c>
      <c r="H32" s="25" t="str">
        <f t="shared" si="3"/>
        <v/>
      </c>
      <c r="I32" s="25" t="str">
        <f t="shared" si="4"/>
        <v/>
      </c>
      <c r="J32" s="26" t="str">
        <f t="shared" si="5"/>
        <v/>
      </c>
      <c r="K32" s="26" t="str">
        <f>IF(C32="","",IF(LEN(C32)-LEN(SUBSTITUTE(C32,"/",""))+1=1,"TOP",IF(COUNTIF($C$4:INDEX($C:$C,ROW()-1),IFERROR(LEFT(C32,FIND("@",SUBSTITUTE(C32,"/","@",LEN(C32)-LEN(SUBSTITUTE(C32,"/",""))))-1),"ROOT"))&gt;0,"OK","CHECK")))</f>
        <v/>
      </c>
      <c r="L32" s="26" t="str">
        <f t="shared" si="6"/>
        <v/>
      </c>
      <c r="M32" s="26" t="str">
        <f t="shared" si="7"/>
        <v/>
      </c>
      <c r="N32" s="26" t="str">
        <f t="shared" si="8"/>
        <v/>
      </c>
    </row>
    <row r="33" spans="1:14" ht="22" customHeight="1" x14ac:dyDescent="0.25">
      <c r="A33" s="27"/>
      <c r="B33" s="10"/>
      <c r="C33" s="10"/>
      <c r="D33" s="10"/>
      <c r="E33" s="34" t="str">
        <f t="shared" si="0"/>
        <v/>
      </c>
      <c r="F33" s="25" t="str">
        <f t="shared" si="1"/>
        <v/>
      </c>
      <c r="G33" s="25" t="str">
        <f t="shared" si="2"/>
        <v/>
      </c>
      <c r="H33" s="25" t="str">
        <f t="shared" si="3"/>
        <v/>
      </c>
      <c r="I33" s="25" t="str">
        <f t="shared" si="4"/>
        <v/>
      </c>
      <c r="J33" s="26" t="str">
        <f t="shared" si="5"/>
        <v/>
      </c>
      <c r="K33" s="26" t="str">
        <f>IF(C33="","",IF(LEN(C33)-LEN(SUBSTITUTE(C33,"/",""))+1=1,"TOP",IF(COUNTIF($C$4:INDEX($C:$C,ROW()-1),IFERROR(LEFT(C33,FIND("@",SUBSTITUTE(C33,"/","@",LEN(C33)-LEN(SUBSTITUTE(C33,"/",""))))-1),"ROOT"))&gt;0,"OK","CHECK")))</f>
        <v/>
      </c>
      <c r="L33" s="26" t="str">
        <f t="shared" si="6"/>
        <v/>
      </c>
      <c r="M33" s="26" t="str">
        <f t="shared" si="7"/>
        <v/>
      </c>
      <c r="N33" s="26" t="str">
        <f t="shared" si="8"/>
        <v/>
      </c>
    </row>
    <row r="34" spans="1:14" ht="22" customHeight="1" x14ac:dyDescent="0.25">
      <c r="A34" s="27"/>
      <c r="B34" s="10"/>
      <c r="C34" s="10"/>
      <c r="D34" s="10"/>
      <c r="E34" s="34" t="str">
        <f t="shared" si="0"/>
        <v/>
      </c>
      <c r="F34" s="25" t="str">
        <f t="shared" si="1"/>
        <v/>
      </c>
      <c r="G34" s="25" t="str">
        <f t="shared" si="2"/>
        <v/>
      </c>
      <c r="H34" s="25" t="str">
        <f t="shared" si="3"/>
        <v/>
      </c>
      <c r="I34" s="25" t="str">
        <f t="shared" si="4"/>
        <v/>
      </c>
      <c r="J34" s="26" t="str">
        <f t="shared" si="5"/>
        <v/>
      </c>
      <c r="K34" s="26" t="str">
        <f>IF(C34="","",IF(LEN(C34)-LEN(SUBSTITUTE(C34,"/",""))+1=1,"TOP",IF(COUNTIF($C$4:INDEX($C:$C,ROW()-1),IFERROR(LEFT(C34,FIND("@",SUBSTITUTE(C34,"/","@",LEN(C34)-LEN(SUBSTITUTE(C34,"/",""))))-1),"ROOT"))&gt;0,"OK","CHECK")))</f>
        <v/>
      </c>
      <c r="L34" s="26" t="str">
        <f t="shared" si="6"/>
        <v/>
      </c>
      <c r="M34" s="26" t="str">
        <f t="shared" si="7"/>
        <v/>
      </c>
      <c r="N34" s="26" t="str">
        <f t="shared" si="8"/>
        <v/>
      </c>
    </row>
    <row r="35" spans="1:14" ht="22" customHeight="1" x14ac:dyDescent="0.25">
      <c r="A35" s="27"/>
      <c r="B35" s="10"/>
      <c r="C35" s="10"/>
      <c r="D35" s="10"/>
      <c r="E35" s="34" t="str">
        <f t="shared" si="0"/>
        <v/>
      </c>
      <c r="F35" s="25" t="str">
        <f t="shared" si="1"/>
        <v/>
      </c>
      <c r="G35" s="25" t="str">
        <f t="shared" si="2"/>
        <v/>
      </c>
      <c r="H35" s="25" t="str">
        <f t="shared" si="3"/>
        <v/>
      </c>
      <c r="I35" s="25" t="str">
        <f t="shared" si="4"/>
        <v/>
      </c>
      <c r="J35" s="26" t="str">
        <f t="shared" si="5"/>
        <v/>
      </c>
      <c r="K35" s="26" t="str">
        <f>IF(C35="","",IF(LEN(C35)-LEN(SUBSTITUTE(C35,"/",""))+1=1,"TOP",IF(COUNTIF($C$4:INDEX($C:$C,ROW()-1),IFERROR(LEFT(C35,FIND("@",SUBSTITUTE(C35,"/","@",LEN(C35)-LEN(SUBSTITUTE(C35,"/",""))))-1),"ROOT"))&gt;0,"OK","CHECK")))</f>
        <v/>
      </c>
      <c r="L35" s="26" t="str">
        <f t="shared" si="6"/>
        <v/>
      </c>
      <c r="M35" s="26" t="str">
        <f t="shared" si="7"/>
        <v/>
      </c>
      <c r="N35" s="26" t="str">
        <f t="shared" si="8"/>
        <v/>
      </c>
    </row>
    <row r="36" spans="1:14" ht="22" customHeight="1" x14ac:dyDescent="0.25">
      <c r="A36" s="27"/>
      <c r="B36" s="10"/>
      <c r="C36" s="10"/>
      <c r="D36" s="10"/>
      <c r="E36" s="34" t="str">
        <f t="shared" si="0"/>
        <v/>
      </c>
      <c r="F36" s="25" t="str">
        <f t="shared" si="1"/>
        <v/>
      </c>
      <c r="G36" s="25" t="str">
        <f t="shared" si="2"/>
        <v/>
      </c>
      <c r="H36" s="25" t="str">
        <f t="shared" si="3"/>
        <v/>
      </c>
      <c r="I36" s="25" t="str">
        <f t="shared" si="4"/>
        <v/>
      </c>
      <c r="J36" s="26" t="str">
        <f t="shared" si="5"/>
        <v/>
      </c>
      <c r="K36" s="26" t="str">
        <f>IF(C36="","",IF(LEN(C36)-LEN(SUBSTITUTE(C36,"/",""))+1=1,"TOP",IF(COUNTIF($C$4:INDEX($C:$C,ROW()-1),IFERROR(LEFT(C36,FIND("@",SUBSTITUTE(C36,"/","@",LEN(C36)-LEN(SUBSTITUTE(C36,"/",""))))-1),"ROOT"))&gt;0,"OK","CHECK")))</f>
        <v/>
      </c>
      <c r="L36" s="26" t="str">
        <f t="shared" si="6"/>
        <v/>
      </c>
      <c r="M36" s="26" t="str">
        <f t="shared" si="7"/>
        <v/>
      </c>
      <c r="N36" s="26" t="str">
        <f t="shared" si="8"/>
        <v/>
      </c>
    </row>
    <row r="37" spans="1:14" ht="22" customHeight="1" x14ac:dyDescent="0.25">
      <c r="A37" s="27"/>
      <c r="B37" s="10"/>
      <c r="C37" s="10"/>
      <c r="D37" s="10"/>
      <c r="E37" s="34" t="str">
        <f t="shared" si="0"/>
        <v/>
      </c>
      <c r="F37" s="25" t="str">
        <f t="shared" si="1"/>
        <v/>
      </c>
      <c r="G37" s="25" t="str">
        <f t="shared" si="2"/>
        <v/>
      </c>
      <c r="H37" s="25" t="str">
        <f t="shared" si="3"/>
        <v/>
      </c>
      <c r="I37" s="25" t="str">
        <f t="shared" si="4"/>
        <v/>
      </c>
      <c r="J37" s="26" t="str">
        <f t="shared" si="5"/>
        <v/>
      </c>
      <c r="K37" s="26" t="str">
        <f>IF(C37="","",IF(LEN(C37)-LEN(SUBSTITUTE(C37,"/",""))+1=1,"TOP",IF(COUNTIF($C$4:INDEX($C:$C,ROW()-1),IFERROR(LEFT(C37,FIND("@",SUBSTITUTE(C37,"/","@",LEN(C37)-LEN(SUBSTITUTE(C37,"/",""))))-1),"ROOT"))&gt;0,"OK","CHECK")))</f>
        <v/>
      </c>
      <c r="L37" s="26" t="str">
        <f t="shared" si="6"/>
        <v/>
      </c>
      <c r="M37" s="26" t="str">
        <f t="shared" si="7"/>
        <v/>
      </c>
      <c r="N37" s="26" t="str">
        <f t="shared" si="8"/>
        <v/>
      </c>
    </row>
    <row r="38" spans="1:14" ht="22" customHeight="1" x14ac:dyDescent="0.25">
      <c r="A38" s="27"/>
      <c r="B38" s="10"/>
      <c r="C38" s="10"/>
      <c r="D38" s="10"/>
      <c r="E38" s="34" t="str">
        <f t="shared" si="0"/>
        <v/>
      </c>
      <c r="F38" s="25" t="str">
        <f t="shared" si="1"/>
        <v/>
      </c>
      <c r="G38" s="25" t="str">
        <f t="shared" si="2"/>
        <v/>
      </c>
      <c r="H38" s="25" t="str">
        <f t="shared" si="3"/>
        <v/>
      </c>
      <c r="I38" s="25" t="str">
        <f t="shared" si="4"/>
        <v/>
      </c>
      <c r="J38" s="26" t="str">
        <f t="shared" si="5"/>
        <v/>
      </c>
      <c r="K38" s="26" t="str">
        <f>IF(C38="","",IF(LEN(C38)-LEN(SUBSTITUTE(C38,"/",""))+1=1,"TOP",IF(COUNTIF($C$4:INDEX($C:$C,ROW()-1),IFERROR(LEFT(C38,FIND("@",SUBSTITUTE(C38,"/","@",LEN(C38)-LEN(SUBSTITUTE(C38,"/",""))))-1),"ROOT"))&gt;0,"OK","CHECK")))</f>
        <v/>
      </c>
      <c r="L38" s="26" t="str">
        <f t="shared" si="6"/>
        <v/>
      </c>
      <c r="M38" s="26" t="str">
        <f t="shared" si="7"/>
        <v/>
      </c>
      <c r="N38" s="26" t="str">
        <f t="shared" si="8"/>
        <v/>
      </c>
    </row>
    <row r="39" spans="1:14" ht="22" customHeight="1" x14ac:dyDescent="0.25">
      <c r="A39" s="27"/>
      <c r="B39" s="10"/>
      <c r="C39" s="10"/>
      <c r="D39" s="10"/>
      <c r="E39" s="34" t="str">
        <f t="shared" si="0"/>
        <v/>
      </c>
      <c r="F39" s="25" t="str">
        <f t="shared" si="1"/>
        <v/>
      </c>
      <c r="G39" s="25" t="str">
        <f t="shared" si="2"/>
        <v/>
      </c>
      <c r="H39" s="25" t="str">
        <f t="shared" si="3"/>
        <v/>
      </c>
      <c r="I39" s="25" t="str">
        <f t="shared" si="4"/>
        <v/>
      </c>
      <c r="J39" s="26" t="str">
        <f t="shared" si="5"/>
        <v/>
      </c>
      <c r="K39" s="26" t="str">
        <f>IF(C39="","",IF(LEN(C39)-LEN(SUBSTITUTE(C39,"/",""))+1=1,"TOP",IF(COUNTIF($C$4:INDEX($C:$C,ROW()-1),IFERROR(LEFT(C39,FIND("@",SUBSTITUTE(C39,"/","@",LEN(C39)-LEN(SUBSTITUTE(C39,"/",""))))-1),"ROOT"))&gt;0,"OK","CHECK")))</f>
        <v/>
      </c>
      <c r="L39" s="26" t="str">
        <f t="shared" si="6"/>
        <v/>
      </c>
      <c r="M39" s="26" t="str">
        <f t="shared" si="7"/>
        <v/>
      </c>
      <c r="N39" s="26" t="str">
        <f t="shared" si="8"/>
        <v/>
      </c>
    </row>
    <row r="40" spans="1:14" ht="22" customHeight="1" x14ac:dyDescent="0.25">
      <c r="A40" s="27"/>
      <c r="B40" s="10"/>
      <c r="C40" s="10"/>
      <c r="D40" s="10"/>
      <c r="E40" s="34" t="str">
        <f t="shared" si="0"/>
        <v/>
      </c>
      <c r="F40" s="25" t="str">
        <f t="shared" si="1"/>
        <v/>
      </c>
      <c r="G40" s="25" t="str">
        <f t="shared" si="2"/>
        <v/>
      </c>
      <c r="H40" s="25" t="str">
        <f t="shared" si="3"/>
        <v/>
      </c>
      <c r="I40" s="25" t="str">
        <f t="shared" si="4"/>
        <v/>
      </c>
      <c r="J40" s="26" t="str">
        <f t="shared" si="5"/>
        <v/>
      </c>
      <c r="K40" s="26" t="str">
        <f>IF(C40="","",IF(LEN(C40)-LEN(SUBSTITUTE(C40,"/",""))+1=1,"TOP",IF(COUNTIF($C$4:INDEX($C:$C,ROW()-1),IFERROR(LEFT(C40,FIND("@",SUBSTITUTE(C40,"/","@",LEN(C40)-LEN(SUBSTITUTE(C40,"/",""))))-1),"ROOT"))&gt;0,"OK","CHECK")))</f>
        <v/>
      </c>
      <c r="L40" s="26" t="str">
        <f t="shared" si="6"/>
        <v/>
      </c>
      <c r="M40" s="26" t="str">
        <f t="shared" si="7"/>
        <v/>
      </c>
      <c r="N40" s="26" t="str">
        <f t="shared" si="8"/>
        <v/>
      </c>
    </row>
    <row r="41" spans="1:14" ht="22" customHeight="1" x14ac:dyDescent="0.25">
      <c r="A41" s="27"/>
      <c r="B41" s="10"/>
      <c r="C41" s="10"/>
      <c r="D41" s="10"/>
      <c r="E41" s="34" t="str">
        <f t="shared" si="0"/>
        <v/>
      </c>
      <c r="F41" s="25" t="str">
        <f t="shared" si="1"/>
        <v/>
      </c>
      <c r="G41" s="25" t="str">
        <f t="shared" si="2"/>
        <v/>
      </c>
      <c r="H41" s="25" t="str">
        <f t="shared" si="3"/>
        <v/>
      </c>
      <c r="I41" s="25" t="str">
        <f t="shared" si="4"/>
        <v/>
      </c>
      <c r="J41" s="26" t="str">
        <f t="shared" si="5"/>
        <v/>
      </c>
      <c r="K41" s="26" t="str">
        <f>IF(C41="","",IF(LEN(C41)-LEN(SUBSTITUTE(C41,"/",""))+1=1,"TOP",IF(COUNTIF($C$4:INDEX($C:$C,ROW()-1),IFERROR(LEFT(C41,FIND("@",SUBSTITUTE(C41,"/","@",LEN(C41)-LEN(SUBSTITUTE(C41,"/",""))))-1),"ROOT"))&gt;0,"OK","CHECK")))</f>
        <v/>
      </c>
      <c r="L41" s="26" t="str">
        <f t="shared" si="6"/>
        <v/>
      </c>
      <c r="M41" s="26" t="str">
        <f t="shared" si="7"/>
        <v/>
      </c>
      <c r="N41" s="26" t="str">
        <f t="shared" si="8"/>
        <v/>
      </c>
    </row>
    <row r="42" spans="1:14" ht="22" customHeight="1" x14ac:dyDescent="0.25">
      <c r="A42" s="27"/>
      <c r="B42" s="10"/>
      <c r="C42" s="10"/>
      <c r="D42" s="10"/>
      <c r="E42" s="34" t="str">
        <f t="shared" si="0"/>
        <v/>
      </c>
      <c r="F42" s="25" t="str">
        <f t="shared" si="1"/>
        <v/>
      </c>
      <c r="G42" s="25" t="str">
        <f t="shared" si="2"/>
        <v/>
      </c>
      <c r="H42" s="25" t="str">
        <f t="shared" si="3"/>
        <v/>
      </c>
      <c r="I42" s="25" t="str">
        <f t="shared" si="4"/>
        <v/>
      </c>
      <c r="J42" s="26" t="str">
        <f t="shared" si="5"/>
        <v/>
      </c>
      <c r="K42" s="26" t="str">
        <f>IF(C42="","",IF(LEN(C42)-LEN(SUBSTITUTE(C42,"/",""))+1=1,"TOP",IF(COUNTIF($C$4:INDEX($C:$C,ROW()-1),IFERROR(LEFT(C42,FIND("@",SUBSTITUTE(C42,"/","@",LEN(C42)-LEN(SUBSTITUTE(C42,"/",""))))-1),"ROOT"))&gt;0,"OK","CHECK")))</f>
        <v/>
      </c>
      <c r="L42" s="26" t="str">
        <f t="shared" si="6"/>
        <v/>
      </c>
      <c r="M42" s="26" t="str">
        <f t="shared" si="7"/>
        <v/>
      </c>
      <c r="N42" s="26" t="str">
        <f t="shared" si="8"/>
        <v/>
      </c>
    </row>
    <row r="43" spans="1:14" ht="22" customHeight="1" x14ac:dyDescent="0.25">
      <c r="A43" s="27"/>
      <c r="B43" s="10"/>
      <c r="C43" s="10"/>
      <c r="D43" s="10"/>
      <c r="E43" s="34" t="str">
        <f t="shared" si="0"/>
        <v/>
      </c>
      <c r="F43" s="25" t="str">
        <f t="shared" si="1"/>
        <v/>
      </c>
      <c r="G43" s="25" t="str">
        <f t="shared" si="2"/>
        <v/>
      </c>
      <c r="H43" s="25" t="str">
        <f t="shared" si="3"/>
        <v/>
      </c>
      <c r="I43" s="25" t="str">
        <f t="shared" si="4"/>
        <v/>
      </c>
      <c r="J43" s="26" t="str">
        <f t="shared" si="5"/>
        <v/>
      </c>
      <c r="K43" s="26" t="str">
        <f>IF(C43="","",IF(LEN(C43)-LEN(SUBSTITUTE(C43,"/",""))+1=1,"TOP",IF(COUNTIF($C$4:INDEX($C:$C,ROW()-1),IFERROR(LEFT(C43,FIND("@",SUBSTITUTE(C43,"/","@",LEN(C43)-LEN(SUBSTITUTE(C43,"/",""))))-1),"ROOT"))&gt;0,"OK","CHECK")))</f>
        <v/>
      </c>
      <c r="L43" s="26" t="str">
        <f t="shared" si="6"/>
        <v/>
      </c>
      <c r="M43" s="26" t="str">
        <f t="shared" si="7"/>
        <v/>
      </c>
      <c r="N43" s="26" t="str">
        <f t="shared" si="8"/>
        <v/>
      </c>
    </row>
    <row r="44" spans="1:14" ht="22" customHeight="1" x14ac:dyDescent="0.25">
      <c r="A44" s="27"/>
      <c r="B44" s="10"/>
      <c r="C44" s="10"/>
      <c r="D44" s="10"/>
      <c r="E44" s="34" t="str">
        <f t="shared" si="0"/>
        <v/>
      </c>
      <c r="F44" s="25" t="str">
        <f t="shared" si="1"/>
        <v/>
      </c>
      <c r="G44" s="25" t="str">
        <f t="shared" si="2"/>
        <v/>
      </c>
      <c r="H44" s="25" t="str">
        <f t="shared" si="3"/>
        <v/>
      </c>
      <c r="I44" s="25" t="str">
        <f t="shared" si="4"/>
        <v/>
      </c>
      <c r="J44" s="26" t="str">
        <f t="shared" si="5"/>
        <v/>
      </c>
      <c r="K44" s="26" t="str">
        <f>IF(C44="","",IF(LEN(C44)-LEN(SUBSTITUTE(C44,"/",""))+1=1,"TOP",IF(COUNTIF($C$4:INDEX($C:$C,ROW()-1),IFERROR(LEFT(C44,FIND("@",SUBSTITUTE(C44,"/","@",LEN(C44)-LEN(SUBSTITUTE(C44,"/",""))))-1),"ROOT"))&gt;0,"OK","CHECK")))</f>
        <v/>
      </c>
      <c r="L44" s="26" t="str">
        <f t="shared" si="6"/>
        <v/>
      </c>
      <c r="M44" s="26" t="str">
        <f t="shared" si="7"/>
        <v/>
      </c>
      <c r="N44" s="26" t="str">
        <f t="shared" si="8"/>
        <v/>
      </c>
    </row>
    <row r="45" spans="1:14" ht="22" customHeight="1" x14ac:dyDescent="0.25">
      <c r="A45" s="27"/>
      <c r="B45" s="10"/>
      <c r="C45" s="10"/>
      <c r="D45" s="10"/>
      <c r="E45" s="34" t="str">
        <f t="shared" si="0"/>
        <v/>
      </c>
      <c r="F45" s="25" t="str">
        <f t="shared" si="1"/>
        <v/>
      </c>
      <c r="G45" s="25" t="str">
        <f t="shared" si="2"/>
        <v/>
      </c>
      <c r="H45" s="25" t="str">
        <f t="shared" si="3"/>
        <v/>
      </c>
      <c r="I45" s="25" t="str">
        <f t="shared" si="4"/>
        <v/>
      </c>
      <c r="J45" s="26" t="str">
        <f t="shared" si="5"/>
        <v/>
      </c>
      <c r="K45" s="26" t="str">
        <f>IF(C45="","",IF(LEN(C45)-LEN(SUBSTITUTE(C45,"/",""))+1=1,"TOP",IF(COUNTIF($C$4:INDEX($C:$C,ROW()-1),IFERROR(LEFT(C45,FIND("@",SUBSTITUTE(C45,"/","@",LEN(C45)-LEN(SUBSTITUTE(C45,"/",""))))-1),"ROOT"))&gt;0,"OK","CHECK")))</f>
        <v/>
      </c>
      <c r="L45" s="26" t="str">
        <f t="shared" si="6"/>
        <v/>
      </c>
      <c r="M45" s="26" t="str">
        <f t="shared" si="7"/>
        <v/>
      </c>
      <c r="N45" s="26" t="str">
        <f t="shared" si="8"/>
        <v/>
      </c>
    </row>
    <row r="46" spans="1:14" ht="22" customHeight="1" x14ac:dyDescent="0.25">
      <c r="A46" s="27"/>
      <c r="B46" s="10"/>
      <c r="C46" s="10"/>
      <c r="D46" s="10"/>
      <c r="E46" s="34" t="str">
        <f t="shared" si="0"/>
        <v/>
      </c>
      <c r="F46" s="25" t="str">
        <f t="shared" si="1"/>
        <v/>
      </c>
      <c r="G46" s="25" t="str">
        <f t="shared" si="2"/>
        <v/>
      </c>
      <c r="H46" s="25" t="str">
        <f t="shared" si="3"/>
        <v/>
      </c>
      <c r="I46" s="25" t="str">
        <f t="shared" si="4"/>
        <v/>
      </c>
      <c r="J46" s="26" t="str">
        <f t="shared" si="5"/>
        <v/>
      </c>
      <c r="K46" s="26" t="str">
        <f>IF(C46="","",IF(LEN(C46)-LEN(SUBSTITUTE(C46,"/",""))+1=1,"TOP",IF(COUNTIF($C$4:INDEX($C:$C,ROW()-1),IFERROR(LEFT(C46,FIND("@",SUBSTITUTE(C46,"/","@",LEN(C46)-LEN(SUBSTITUTE(C46,"/",""))))-1),"ROOT"))&gt;0,"OK","CHECK")))</f>
        <v/>
      </c>
      <c r="L46" s="26" t="str">
        <f t="shared" si="6"/>
        <v/>
      </c>
      <c r="M46" s="26" t="str">
        <f t="shared" si="7"/>
        <v/>
      </c>
      <c r="N46" s="26" t="str">
        <f t="shared" si="8"/>
        <v/>
      </c>
    </row>
    <row r="47" spans="1:14" ht="22" customHeight="1" x14ac:dyDescent="0.25">
      <c r="A47" s="27"/>
      <c r="B47" s="10"/>
      <c r="C47" s="10"/>
      <c r="D47" s="10"/>
      <c r="E47" s="34" t="str">
        <f t="shared" si="0"/>
        <v/>
      </c>
      <c r="F47" s="25" t="str">
        <f t="shared" si="1"/>
        <v/>
      </c>
      <c r="G47" s="25" t="str">
        <f t="shared" si="2"/>
        <v/>
      </c>
      <c r="H47" s="25" t="str">
        <f t="shared" si="3"/>
        <v/>
      </c>
      <c r="I47" s="25" t="str">
        <f t="shared" si="4"/>
        <v/>
      </c>
      <c r="J47" s="26" t="str">
        <f t="shared" si="5"/>
        <v/>
      </c>
      <c r="K47" s="26" t="str">
        <f>IF(C47="","",IF(LEN(C47)-LEN(SUBSTITUTE(C47,"/",""))+1=1,"TOP",IF(COUNTIF($C$4:INDEX($C:$C,ROW()-1),IFERROR(LEFT(C47,FIND("@",SUBSTITUTE(C47,"/","@",LEN(C47)-LEN(SUBSTITUTE(C47,"/",""))))-1),"ROOT"))&gt;0,"OK","CHECK")))</f>
        <v/>
      </c>
      <c r="L47" s="26" t="str">
        <f t="shared" si="6"/>
        <v/>
      </c>
      <c r="M47" s="26" t="str">
        <f t="shared" si="7"/>
        <v/>
      </c>
      <c r="N47" s="26" t="str">
        <f t="shared" si="8"/>
        <v/>
      </c>
    </row>
    <row r="48" spans="1:14" ht="22" customHeight="1" x14ac:dyDescent="0.25">
      <c r="A48" s="27"/>
      <c r="B48" s="10"/>
      <c r="C48" s="10"/>
      <c r="D48" s="10"/>
      <c r="E48" s="34" t="str">
        <f t="shared" si="0"/>
        <v/>
      </c>
      <c r="F48" s="25" t="str">
        <f t="shared" si="1"/>
        <v/>
      </c>
      <c r="G48" s="25" t="str">
        <f t="shared" si="2"/>
        <v/>
      </c>
      <c r="H48" s="25" t="str">
        <f t="shared" si="3"/>
        <v/>
      </c>
      <c r="I48" s="25" t="str">
        <f t="shared" si="4"/>
        <v/>
      </c>
      <c r="J48" s="26" t="str">
        <f t="shared" si="5"/>
        <v/>
      </c>
      <c r="K48" s="26" t="str">
        <f>IF(C48="","",IF(LEN(C48)-LEN(SUBSTITUTE(C48,"/",""))+1=1,"TOP",IF(COUNTIF($C$4:INDEX($C:$C,ROW()-1),IFERROR(LEFT(C48,FIND("@",SUBSTITUTE(C48,"/","@",LEN(C48)-LEN(SUBSTITUTE(C48,"/",""))))-1),"ROOT"))&gt;0,"OK","CHECK")))</f>
        <v/>
      </c>
      <c r="L48" s="26" t="str">
        <f t="shared" si="6"/>
        <v/>
      </c>
      <c r="M48" s="26" t="str">
        <f t="shared" si="7"/>
        <v/>
      </c>
      <c r="N48" s="26" t="str">
        <f t="shared" si="8"/>
        <v/>
      </c>
    </row>
    <row r="49" spans="1:14" ht="22" customHeight="1" x14ac:dyDescent="0.25">
      <c r="A49" s="27"/>
      <c r="B49" s="10"/>
      <c r="C49" s="10"/>
      <c r="D49" s="10"/>
      <c r="E49" s="34" t="str">
        <f t="shared" si="0"/>
        <v/>
      </c>
      <c r="F49" s="25" t="str">
        <f t="shared" si="1"/>
        <v/>
      </c>
      <c r="G49" s="25" t="str">
        <f t="shared" si="2"/>
        <v/>
      </c>
      <c r="H49" s="25" t="str">
        <f t="shared" si="3"/>
        <v/>
      </c>
      <c r="I49" s="25" t="str">
        <f t="shared" si="4"/>
        <v/>
      </c>
      <c r="J49" s="26" t="str">
        <f t="shared" si="5"/>
        <v/>
      </c>
      <c r="K49" s="26" t="str">
        <f>IF(C49="","",IF(LEN(C49)-LEN(SUBSTITUTE(C49,"/",""))+1=1,"TOP",IF(COUNTIF($C$4:INDEX($C:$C,ROW()-1),IFERROR(LEFT(C49,FIND("@",SUBSTITUTE(C49,"/","@",LEN(C49)-LEN(SUBSTITUTE(C49,"/",""))))-1),"ROOT"))&gt;0,"OK","CHECK")))</f>
        <v/>
      </c>
      <c r="L49" s="26" t="str">
        <f t="shared" si="6"/>
        <v/>
      </c>
      <c r="M49" s="26" t="str">
        <f t="shared" si="7"/>
        <v/>
      </c>
      <c r="N49" s="26" t="str">
        <f t="shared" si="8"/>
        <v/>
      </c>
    </row>
    <row r="50" spans="1:14" ht="22" customHeight="1" x14ac:dyDescent="0.25">
      <c r="A50" s="27"/>
      <c r="B50" s="10"/>
      <c r="C50" s="10"/>
      <c r="D50" s="10"/>
      <c r="E50" s="34" t="str">
        <f t="shared" si="0"/>
        <v/>
      </c>
      <c r="F50" s="25" t="str">
        <f t="shared" si="1"/>
        <v/>
      </c>
      <c r="G50" s="25" t="str">
        <f t="shared" si="2"/>
        <v/>
      </c>
      <c r="H50" s="25" t="str">
        <f t="shared" si="3"/>
        <v/>
      </c>
      <c r="I50" s="25" t="str">
        <f t="shared" si="4"/>
        <v/>
      </c>
      <c r="J50" s="26" t="str">
        <f t="shared" si="5"/>
        <v/>
      </c>
      <c r="K50" s="26" t="str">
        <f>IF(C50="","",IF(LEN(C50)-LEN(SUBSTITUTE(C50,"/",""))+1=1,"TOP",IF(COUNTIF($C$4:INDEX($C:$C,ROW()-1),IFERROR(LEFT(C50,FIND("@",SUBSTITUTE(C50,"/","@",LEN(C50)-LEN(SUBSTITUTE(C50,"/",""))))-1),"ROOT"))&gt;0,"OK","CHECK")))</f>
        <v/>
      </c>
      <c r="L50" s="26" t="str">
        <f t="shared" si="6"/>
        <v/>
      </c>
      <c r="M50" s="26" t="str">
        <f t="shared" si="7"/>
        <v/>
      </c>
      <c r="N50" s="26" t="str">
        <f t="shared" si="8"/>
        <v/>
      </c>
    </row>
    <row r="51" spans="1:14" ht="22" customHeight="1" x14ac:dyDescent="0.25">
      <c r="A51" s="27"/>
      <c r="B51" s="10"/>
      <c r="C51" s="10"/>
      <c r="D51" s="10"/>
      <c r="E51" s="34" t="str">
        <f t="shared" si="0"/>
        <v/>
      </c>
      <c r="F51" s="25" t="str">
        <f t="shared" si="1"/>
        <v/>
      </c>
      <c r="G51" s="25" t="str">
        <f t="shared" si="2"/>
        <v/>
      </c>
      <c r="H51" s="25" t="str">
        <f t="shared" si="3"/>
        <v/>
      </c>
      <c r="I51" s="25" t="str">
        <f t="shared" si="4"/>
        <v/>
      </c>
      <c r="J51" s="26" t="str">
        <f t="shared" si="5"/>
        <v/>
      </c>
      <c r="K51" s="26" t="str">
        <f>IF(C51="","",IF(LEN(C51)-LEN(SUBSTITUTE(C51,"/",""))+1=1,"TOP",IF(COUNTIF($C$4:INDEX($C:$C,ROW()-1),IFERROR(LEFT(C51,FIND("@",SUBSTITUTE(C51,"/","@",LEN(C51)-LEN(SUBSTITUTE(C51,"/",""))))-1),"ROOT"))&gt;0,"OK","CHECK")))</f>
        <v/>
      </c>
      <c r="L51" s="26" t="str">
        <f t="shared" si="6"/>
        <v/>
      </c>
      <c r="M51" s="26" t="str">
        <f t="shared" si="7"/>
        <v/>
      </c>
      <c r="N51" s="26" t="str">
        <f t="shared" si="8"/>
        <v/>
      </c>
    </row>
    <row r="52" spans="1:14" ht="22" customHeight="1" x14ac:dyDescent="0.25">
      <c r="A52" s="27"/>
      <c r="B52" s="10"/>
      <c r="C52" s="10"/>
      <c r="D52" s="10"/>
      <c r="E52" s="34" t="str">
        <f t="shared" si="0"/>
        <v/>
      </c>
      <c r="F52" s="25" t="str">
        <f t="shared" si="1"/>
        <v/>
      </c>
      <c r="G52" s="25" t="str">
        <f t="shared" si="2"/>
        <v/>
      </c>
      <c r="H52" s="25" t="str">
        <f t="shared" si="3"/>
        <v/>
      </c>
      <c r="I52" s="25" t="str">
        <f t="shared" si="4"/>
        <v/>
      </c>
      <c r="J52" s="26" t="str">
        <f t="shared" si="5"/>
        <v/>
      </c>
      <c r="K52" s="26" t="str">
        <f>IF(C52="","",IF(LEN(C52)-LEN(SUBSTITUTE(C52,"/",""))+1=1,"TOP",IF(COUNTIF($C$4:INDEX($C:$C,ROW()-1),IFERROR(LEFT(C52,FIND("@",SUBSTITUTE(C52,"/","@",LEN(C52)-LEN(SUBSTITUTE(C52,"/",""))))-1),"ROOT"))&gt;0,"OK","CHECK")))</f>
        <v/>
      </c>
      <c r="L52" s="26" t="str">
        <f t="shared" si="6"/>
        <v/>
      </c>
      <c r="M52" s="26" t="str">
        <f t="shared" si="7"/>
        <v/>
      </c>
      <c r="N52" s="26" t="str">
        <f t="shared" si="8"/>
        <v/>
      </c>
    </row>
    <row r="53" spans="1:14" ht="22" customHeight="1" x14ac:dyDescent="0.25">
      <c r="A53" s="27"/>
      <c r="B53" s="10"/>
      <c r="C53" s="10"/>
      <c r="D53" s="10"/>
      <c r="E53" s="34" t="str">
        <f t="shared" si="0"/>
        <v/>
      </c>
      <c r="F53" s="25" t="str">
        <f t="shared" si="1"/>
        <v/>
      </c>
      <c r="G53" s="25" t="str">
        <f t="shared" si="2"/>
        <v/>
      </c>
      <c r="H53" s="25" t="str">
        <f t="shared" si="3"/>
        <v/>
      </c>
      <c r="I53" s="25" t="str">
        <f t="shared" si="4"/>
        <v/>
      </c>
      <c r="J53" s="26" t="str">
        <f t="shared" si="5"/>
        <v/>
      </c>
      <c r="K53" s="26" t="str">
        <f>IF(C53="","",IF(LEN(C53)-LEN(SUBSTITUTE(C53,"/",""))+1=1,"TOP",IF(COUNTIF($C$4:INDEX($C:$C,ROW()-1),IFERROR(LEFT(C53,FIND("@",SUBSTITUTE(C53,"/","@",LEN(C53)-LEN(SUBSTITUTE(C53,"/",""))))-1),"ROOT"))&gt;0,"OK","CHECK")))</f>
        <v/>
      </c>
      <c r="L53" s="26" t="str">
        <f t="shared" si="6"/>
        <v/>
      </c>
      <c r="M53" s="26" t="str">
        <f t="shared" si="7"/>
        <v/>
      </c>
      <c r="N53" s="26" t="str">
        <f t="shared" si="8"/>
        <v/>
      </c>
    </row>
    <row r="54" spans="1:14" ht="22" customHeight="1" x14ac:dyDescent="0.25">
      <c r="A54" s="27"/>
      <c r="B54" s="10"/>
      <c r="C54" s="10"/>
      <c r="D54" s="10"/>
      <c r="E54" s="34" t="str">
        <f t="shared" si="0"/>
        <v/>
      </c>
      <c r="F54" s="25" t="str">
        <f t="shared" si="1"/>
        <v/>
      </c>
      <c r="G54" s="25" t="str">
        <f t="shared" si="2"/>
        <v/>
      </c>
      <c r="H54" s="25" t="str">
        <f t="shared" si="3"/>
        <v/>
      </c>
      <c r="I54" s="25" t="str">
        <f t="shared" si="4"/>
        <v/>
      </c>
      <c r="J54" s="26" t="str">
        <f t="shared" si="5"/>
        <v/>
      </c>
      <c r="K54" s="26" t="str">
        <f>IF(C54="","",IF(LEN(C54)-LEN(SUBSTITUTE(C54,"/",""))+1=1,"TOP",IF(COUNTIF($C$4:INDEX($C:$C,ROW()-1),IFERROR(LEFT(C54,FIND("@",SUBSTITUTE(C54,"/","@",LEN(C54)-LEN(SUBSTITUTE(C54,"/",""))))-1),"ROOT"))&gt;0,"OK","CHECK")))</f>
        <v/>
      </c>
      <c r="L54" s="26" t="str">
        <f t="shared" si="6"/>
        <v/>
      </c>
      <c r="M54" s="26" t="str">
        <f t="shared" si="7"/>
        <v/>
      </c>
      <c r="N54" s="26" t="str">
        <f t="shared" si="8"/>
        <v/>
      </c>
    </row>
    <row r="55" spans="1:14" ht="22" customHeight="1" x14ac:dyDescent="0.25">
      <c r="A55" s="27"/>
      <c r="B55" s="10"/>
      <c r="C55" s="10"/>
      <c r="D55" s="10"/>
      <c r="E55" s="34" t="str">
        <f t="shared" si="0"/>
        <v/>
      </c>
      <c r="F55" s="25" t="str">
        <f t="shared" si="1"/>
        <v/>
      </c>
      <c r="G55" s="25" t="str">
        <f t="shared" si="2"/>
        <v/>
      </c>
      <c r="H55" s="25" t="str">
        <f t="shared" si="3"/>
        <v/>
      </c>
      <c r="I55" s="25" t="str">
        <f t="shared" si="4"/>
        <v/>
      </c>
      <c r="J55" s="26" t="str">
        <f t="shared" si="5"/>
        <v/>
      </c>
      <c r="K55" s="26" t="str">
        <f>IF(C55="","",IF(LEN(C55)-LEN(SUBSTITUTE(C55,"/",""))+1=1,"TOP",IF(COUNTIF($C$4:INDEX($C:$C,ROW()-1),IFERROR(LEFT(C55,FIND("@",SUBSTITUTE(C55,"/","@",LEN(C55)-LEN(SUBSTITUTE(C55,"/",""))))-1),"ROOT"))&gt;0,"OK","CHECK")))</f>
        <v/>
      </c>
      <c r="L55" s="26" t="str">
        <f t="shared" si="6"/>
        <v/>
      </c>
      <c r="M55" s="26" t="str">
        <f t="shared" si="7"/>
        <v/>
      </c>
      <c r="N55" s="26" t="str">
        <f t="shared" si="8"/>
        <v/>
      </c>
    </row>
    <row r="56" spans="1:14" ht="22" customHeight="1" x14ac:dyDescent="0.25">
      <c r="A56" s="27"/>
      <c r="B56" s="10"/>
      <c r="C56" s="10"/>
      <c r="D56" s="10"/>
      <c r="E56" s="34" t="str">
        <f t="shared" si="0"/>
        <v/>
      </c>
      <c r="F56" s="25" t="str">
        <f t="shared" si="1"/>
        <v/>
      </c>
      <c r="G56" s="25" t="str">
        <f t="shared" si="2"/>
        <v/>
      </c>
      <c r="H56" s="25" t="str">
        <f t="shared" si="3"/>
        <v/>
      </c>
      <c r="I56" s="25" t="str">
        <f t="shared" si="4"/>
        <v/>
      </c>
      <c r="J56" s="26" t="str">
        <f t="shared" si="5"/>
        <v/>
      </c>
      <c r="K56" s="26" t="str">
        <f>IF(C56="","",IF(LEN(C56)-LEN(SUBSTITUTE(C56,"/",""))+1=1,"TOP",IF(COUNTIF($C$4:INDEX($C:$C,ROW()-1),IFERROR(LEFT(C56,FIND("@",SUBSTITUTE(C56,"/","@",LEN(C56)-LEN(SUBSTITUTE(C56,"/",""))))-1),"ROOT"))&gt;0,"OK","CHECK")))</f>
        <v/>
      </c>
      <c r="L56" s="26" t="str">
        <f t="shared" si="6"/>
        <v/>
      </c>
      <c r="M56" s="26" t="str">
        <f t="shared" si="7"/>
        <v/>
      </c>
      <c r="N56" s="26" t="str">
        <f t="shared" si="8"/>
        <v/>
      </c>
    </row>
    <row r="57" spans="1:14" ht="22" customHeight="1" x14ac:dyDescent="0.25">
      <c r="A57" s="27"/>
      <c r="B57" s="10"/>
      <c r="C57" s="10"/>
      <c r="D57" s="10"/>
      <c r="E57" s="34" t="str">
        <f t="shared" si="0"/>
        <v/>
      </c>
      <c r="F57" s="25" t="str">
        <f t="shared" si="1"/>
        <v/>
      </c>
      <c r="G57" s="25" t="str">
        <f t="shared" si="2"/>
        <v/>
      </c>
      <c r="H57" s="25" t="str">
        <f t="shared" si="3"/>
        <v/>
      </c>
      <c r="I57" s="25" t="str">
        <f t="shared" si="4"/>
        <v/>
      </c>
      <c r="J57" s="26" t="str">
        <f t="shared" si="5"/>
        <v/>
      </c>
      <c r="K57" s="26" t="str">
        <f>IF(C57="","",IF(LEN(C57)-LEN(SUBSTITUTE(C57,"/",""))+1=1,"TOP",IF(COUNTIF($C$4:INDEX($C:$C,ROW()-1),IFERROR(LEFT(C57,FIND("@",SUBSTITUTE(C57,"/","@",LEN(C57)-LEN(SUBSTITUTE(C57,"/",""))))-1),"ROOT"))&gt;0,"OK","CHECK")))</f>
        <v/>
      </c>
      <c r="L57" s="26" t="str">
        <f t="shared" si="6"/>
        <v/>
      </c>
      <c r="M57" s="26" t="str">
        <f t="shared" si="7"/>
        <v/>
      </c>
      <c r="N57" s="26" t="str">
        <f t="shared" si="8"/>
        <v/>
      </c>
    </row>
    <row r="58" spans="1:14" ht="22" customHeight="1" x14ac:dyDescent="0.25">
      <c r="A58" s="27"/>
      <c r="B58" s="10"/>
      <c r="C58" s="10"/>
      <c r="D58" s="10"/>
      <c r="E58" s="34" t="str">
        <f t="shared" si="0"/>
        <v/>
      </c>
      <c r="F58" s="25" t="str">
        <f t="shared" si="1"/>
        <v/>
      </c>
      <c r="G58" s="25" t="str">
        <f t="shared" si="2"/>
        <v/>
      </c>
      <c r="H58" s="25" t="str">
        <f t="shared" si="3"/>
        <v/>
      </c>
      <c r="I58" s="25" t="str">
        <f t="shared" si="4"/>
        <v/>
      </c>
      <c r="J58" s="26" t="str">
        <f t="shared" si="5"/>
        <v/>
      </c>
      <c r="K58" s="26" t="str">
        <f>IF(C58="","",IF(LEN(C58)-LEN(SUBSTITUTE(C58,"/",""))+1=1,"TOP",IF(COUNTIF($C$4:INDEX($C:$C,ROW()-1),IFERROR(LEFT(C58,FIND("@",SUBSTITUTE(C58,"/","@",LEN(C58)-LEN(SUBSTITUTE(C58,"/",""))))-1),"ROOT"))&gt;0,"OK","CHECK")))</f>
        <v/>
      </c>
      <c r="L58" s="26" t="str">
        <f t="shared" si="6"/>
        <v/>
      </c>
      <c r="M58" s="26" t="str">
        <f t="shared" si="7"/>
        <v/>
      </c>
      <c r="N58" s="26" t="str">
        <f t="shared" si="8"/>
        <v/>
      </c>
    </row>
    <row r="59" spans="1:14" ht="22" customHeight="1" x14ac:dyDescent="0.25">
      <c r="A59" s="27"/>
      <c r="B59" s="10"/>
      <c r="C59" s="10"/>
      <c r="D59" s="10"/>
      <c r="E59" s="34" t="str">
        <f t="shared" si="0"/>
        <v/>
      </c>
      <c r="F59" s="25" t="str">
        <f t="shared" si="1"/>
        <v/>
      </c>
      <c r="G59" s="25" t="str">
        <f t="shared" si="2"/>
        <v/>
      </c>
      <c r="H59" s="25" t="str">
        <f t="shared" si="3"/>
        <v/>
      </c>
      <c r="I59" s="25" t="str">
        <f t="shared" si="4"/>
        <v/>
      </c>
      <c r="J59" s="26" t="str">
        <f t="shared" si="5"/>
        <v/>
      </c>
      <c r="K59" s="26" t="str">
        <f>IF(C59="","",IF(LEN(C59)-LEN(SUBSTITUTE(C59,"/",""))+1=1,"TOP",IF(COUNTIF($C$4:INDEX($C:$C,ROW()-1),IFERROR(LEFT(C59,FIND("@",SUBSTITUTE(C59,"/","@",LEN(C59)-LEN(SUBSTITUTE(C59,"/",""))))-1),"ROOT"))&gt;0,"OK","CHECK")))</f>
        <v/>
      </c>
      <c r="L59" s="26" t="str">
        <f t="shared" si="6"/>
        <v/>
      </c>
      <c r="M59" s="26" t="str">
        <f t="shared" si="7"/>
        <v/>
      </c>
      <c r="N59" s="26" t="str">
        <f t="shared" si="8"/>
        <v/>
      </c>
    </row>
    <row r="60" spans="1:14" ht="22" customHeight="1" x14ac:dyDescent="0.25">
      <c r="A60" s="27"/>
      <c r="B60" s="10"/>
      <c r="C60" s="10"/>
      <c r="D60" s="10"/>
      <c r="E60" s="34" t="str">
        <f t="shared" si="0"/>
        <v/>
      </c>
      <c r="F60" s="25" t="str">
        <f t="shared" si="1"/>
        <v/>
      </c>
      <c r="G60" s="25" t="str">
        <f t="shared" si="2"/>
        <v/>
      </c>
      <c r="H60" s="25" t="str">
        <f t="shared" si="3"/>
        <v/>
      </c>
      <c r="I60" s="25" t="str">
        <f t="shared" si="4"/>
        <v/>
      </c>
      <c r="J60" s="26" t="str">
        <f t="shared" si="5"/>
        <v/>
      </c>
      <c r="K60" s="26" t="str">
        <f>IF(C60="","",IF(LEN(C60)-LEN(SUBSTITUTE(C60,"/",""))+1=1,"TOP",IF(COUNTIF($C$4:INDEX($C:$C,ROW()-1),IFERROR(LEFT(C60,FIND("@",SUBSTITUTE(C60,"/","@",LEN(C60)-LEN(SUBSTITUTE(C60,"/",""))))-1),"ROOT"))&gt;0,"OK","CHECK")))</f>
        <v/>
      </c>
      <c r="L60" s="26" t="str">
        <f t="shared" si="6"/>
        <v/>
      </c>
      <c r="M60" s="26" t="str">
        <f t="shared" si="7"/>
        <v/>
      </c>
      <c r="N60" s="26" t="str">
        <f t="shared" si="8"/>
        <v/>
      </c>
    </row>
    <row r="61" spans="1:14" ht="22" customHeight="1" x14ac:dyDescent="0.25">
      <c r="A61" s="27"/>
      <c r="B61" s="10"/>
      <c r="C61" s="10"/>
      <c r="D61" s="10"/>
      <c r="E61" s="34" t="str">
        <f t="shared" si="0"/>
        <v/>
      </c>
      <c r="F61" s="25" t="str">
        <f t="shared" si="1"/>
        <v/>
      </c>
      <c r="G61" s="25" t="str">
        <f t="shared" si="2"/>
        <v/>
      </c>
      <c r="H61" s="25" t="str">
        <f t="shared" si="3"/>
        <v/>
      </c>
      <c r="I61" s="25" t="str">
        <f t="shared" si="4"/>
        <v/>
      </c>
      <c r="J61" s="26" t="str">
        <f t="shared" si="5"/>
        <v/>
      </c>
      <c r="K61" s="26" t="str">
        <f>IF(C61="","",IF(LEN(C61)-LEN(SUBSTITUTE(C61,"/",""))+1=1,"TOP",IF(COUNTIF($C$4:INDEX($C:$C,ROW()-1),IFERROR(LEFT(C61,FIND("@",SUBSTITUTE(C61,"/","@",LEN(C61)-LEN(SUBSTITUTE(C61,"/",""))))-1),"ROOT"))&gt;0,"OK","CHECK")))</f>
        <v/>
      </c>
      <c r="L61" s="26" t="str">
        <f t="shared" si="6"/>
        <v/>
      </c>
      <c r="M61" s="26" t="str">
        <f t="shared" si="7"/>
        <v/>
      </c>
      <c r="N61" s="26" t="str">
        <f t="shared" si="8"/>
        <v/>
      </c>
    </row>
    <row r="62" spans="1:14" ht="22" customHeight="1" x14ac:dyDescent="0.25">
      <c r="A62" s="27"/>
      <c r="B62" s="10"/>
      <c r="C62" s="10"/>
      <c r="D62" s="10"/>
      <c r="E62" s="34" t="str">
        <f t="shared" si="0"/>
        <v/>
      </c>
      <c r="F62" s="25" t="str">
        <f t="shared" si="1"/>
        <v/>
      </c>
      <c r="G62" s="25" t="str">
        <f t="shared" si="2"/>
        <v/>
      </c>
      <c r="H62" s="25" t="str">
        <f t="shared" si="3"/>
        <v/>
      </c>
      <c r="I62" s="25" t="str">
        <f t="shared" si="4"/>
        <v/>
      </c>
      <c r="J62" s="26" t="str">
        <f t="shared" si="5"/>
        <v/>
      </c>
      <c r="K62" s="26" t="str">
        <f>IF(C62="","",IF(LEN(C62)-LEN(SUBSTITUTE(C62,"/",""))+1=1,"TOP",IF(COUNTIF($C$4:INDEX($C:$C,ROW()-1),IFERROR(LEFT(C62,FIND("@",SUBSTITUTE(C62,"/","@",LEN(C62)-LEN(SUBSTITUTE(C62,"/",""))))-1),"ROOT"))&gt;0,"OK","CHECK")))</f>
        <v/>
      </c>
      <c r="L62" s="26" t="str">
        <f t="shared" si="6"/>
        <v/>
      </c>
      <c r="M62" s="26" t="str">
        <f t="shared" si="7"/>
        <v/>
      </c>
      <c r="N62" s="26" t="str">
        <f t="shared" si="8"/>
        <v/>
      </c>
    </row>
    <row r="63" spans="1:14" ht="22" customHeight="1" x14ac:dyDescent="0.25">
      <c r="A63" s="27"/>
      <c r="B63" s="10"/>
      <c r="C63" s="10"/>
      <c r="D63" s="10"/>
      <c r="E63" s="34" t="str">
        <f t="shared" si="0"/>
        <v/>
      </c>
      <c r="F63" s="25" t="str">
        <f t="shared" si="1"/>
        <v/>
      </c>
      <c r="G63" s="25" t="str">
        <f t="shared" si="2"/>
        <v/>
      </c>
      <c r="H63" s="25" t="str">
        <f t="shared" si="3"/>
        <v/>
      </c>
      <c r="I63" s="25" t="str">
        <f t="shared" si="4"/>
        <v/>
      </c>
      <c r="J63" s="26" t="str">
        <f t="shared" si="5"/>
        <v/>
      </c>
      <c r="K63" s="26" t="str">
        <f>IF(C63="","",IF(LEN(C63)-LEN(SUBSTITUTE(C63,"/",""))+1=1,"TOP",IF(COUNTIF($C$4:INDEX($C:$C,ROW()-1),IFERROR(LEFT(C63,FIND("@",SUBSTITUTE(C63,"/","@",LEN(C63)-LEN(SUBSTITUTE(C63,"/",""))))-1),"ROOT"))&gt;0,"OK","CHECK")))</f>
        <v/>
      </c>
      <c r="L63" s="26" t="str">
        <f t="shared" si="6"/>
        <v/>
      </c>
      <c r="M63" s="26" t="str">
        <f t="shared" si="7"/>
        <v/>
      </c>
      <c r="N63" s="26" t="str">
        <f t="shared" si="8"/>
        <v/>
      </c>
    </row>
    <row r="64" spans="1:14" ht="22" customHeight="1" x14ac:dyDescent="0.25">
      <c r="A64" s="27"/>
      <c r="B64" s="10"/>
      <c r="C64" s="10"/>
      <c r="D64" s="10"/>
      <c r="E64" s="34" t="str">
        <f t="shared" si="0"/>
        <v/>
      </c>
      <c r="F64" s="25" t="str">
        <f t="shared" si="1"/>
        <v/>
      </c>
      <c r="G64" s="25" t="str">
        <f t="shared" si="2"/>
        <v/>
      </c>
      <c r="H64" s="25" t="str">
        <f t="shared" si="3"/>
        <v/>
      </c>
      <c r="I64" s="25" t="str">
        <f t="shared" si="4"/>
        <v/>
      </c>
      <c r="J64" s="26" t="str">
        <f t="shared" si="5"/>
        <v/>
      </c>
      <c r="K64" s="26" t="str">
        <f>IF(C64="","",IF(LEN(C64)-LEN(SUBSTITUTE(C64,"/",""))+1=1,"TOP",IF(COUNTIF($C$4:INDEX($C:$C,ROW()-1),IFERROR(LEFT(C64,FIND("@",SUBSTITUTE(C64,"/","@",LEN(C64)-LEN(SUBSTITUTE(C64,"/",""))))-1),"ROOT"))&gt;0,"OK","CHECK")))</f>
        <v/>
      </c>
      <c r="L64" s="26" t="str">
        <f t="shared" si="6"/>
        <v/>
      </c>
      <c r="M64" s="26" t="str">
        <f t="shared" si="7"/>
        <v/>
      </c>
      <c r="N64" s="26" t="str">
        <f t="shared" si="8"/>
        <v/>
      </c>
    </row>
    <row r="65" spans="1:14" ht="22" customHeight="1" x14ac:dyDescent="0.25">
      <c r="A65" s="27"/>
      <c r="B65" s="10"/>
      <c r="C65" s="10"/>
      <c r="D65" s="10"/>
      <c r="E65" s="34" t="str">
        <f t="shared" si="0"/>
        <v/>
      </c>
      <c r="F65" s="25" t="str">
        <f t="shared" si="1"/>
        <v/>
      </c>
      <c r="G65" s="25" t="str">
        <f t="shared" si="2"/>
        <v/>
      </c>
      <c r="H65" s="25" t="str">
        <f t="shared" si="3"/>
        <v/>
      </c>
      <c r="I65" s="25" t="str">
        <f t="shared" si="4"/>
        <v/>
      </c>
      <c r="J65" s="26" t="str">
        <f t="shared" si="5"/>
        <v/>
      </c>
      <c r="K65" s="26" t="str">
        <f>IF(C65="","",IF(LEN(C65)-LEN(SUBSTITUTE(C65,"/",""))+1=1,"TOP",IF(COUNTIF($C$4:INDEX($C:$C,ROW()-1),IFERROR(LEFT(C65,FIND("@",SUBSTITUTE(C65,"/","@",LEN(C65)-LEN(SUBSTITUTE(C65,"/",""))))-1),"ROOT"))&gt;0,"OK","CHECK")))</f>
        <v/>
      </c>
      <c r="L65" s="26" t="str">
        <f t="shared" si="6"/>
        <v/>
      </c>
      <c r="M65" s="26" t="str">
        <f t="shared" si="7"/>
        <v/>
      </c>
      <c r="N65" s="26" t="str">
        <f t="shared" si="8"/>
        <v/>
      </c>
    </row>
    <row r="66" spans="1:14" ht="22" customHeight="1" x14ac:dyDescent="0.25">
      <c r="A66" s="27"/>
      <c r="B66" s="10"/>
      <c r="C66" s="10"/>
      <c r="D66" s="10"/>
      <c r="E66" s="34" t="str">
        <f t="shared" si="0"/>
        <v/>
      </c>
      <c r="F66" s="25" t="str">
        <f t="shared" si="1"/>
        <v/>
      </c>
      <c r="G66" s="25" t="str">
        <f t="shared" si="2"/>
        <v/>
      </c>
      <c r="H66" s="25" t="str">
        <f t="shared" si="3"/>
        <v/>
      </c>
      <c r="I66" s="25" t="str">
        <f t="shared" si="4"/>
        <v/>
      </c>
      <c r="J66" s="26" t="str">
        <f t="shared" si="5"/>
        <v/>
      </c>
      <c r="K66" s="26" t="str">
        <f>IF(C66="","",IF(LEN(C66)-LEN(SUBSTITUTE(C66,"/",""))+1=1,"TOP",IF(COUNTIF($C$4:INDEX($C:$C,ROW()-1),IFERROR(LEFT(C66,FIND("@",SUBSTITUTE(C66,"/","@",LEN(C66)-LEN(SUBSTITUTE(C66,"/",""))))-1),"ROOT"))&gt;0,"OK","CHECK")))</f>
        <v/>
      </c>
      <c r="L66" s="26" t="str">
        <f t="shared" si="6"/>
        <v/>
      </c>
      <c r="M66" s="26" t="str">
        <f t="shared" si="7"/>
        <v/>
      </c>
      <c r="N66" s="26" t="str">
        <f t="shared" si="8"/>
        <v/>
      </c>
    </row>
    <row r="67" spans="1:14" ht="22" customHeight="1" x14ac:dyDescent="0.25">
      <c r="A67" s="27"/>
      <c r="B67" s="10"/>
      <c r="C67" s="10"/>
      <c r="D67" s="10"/>
      <c r="E67" s="34" t="str">
        <f t="shared" si="0"/>
        <v/>
      </c>
      <c r="F67" s="25" t="str">
        <f t="shared" si="1"/>
        <v/>
      </c>
      <c r="G67" s="25" t="str">
        <f t="shared" si="2"/>
        <v/>
      </c>
      <c r="H67" s="25" t="str">
        <f t="shared" si="3"/>
        <v/>
      </c>
      <c r="I67" s="25" t="str">
        <f t="shared" si="4"/>
        <v/>
      </c>
      <c r="J67" s="26" t="str">
        <f t="shared" si="5"/>
        <v/>
      </c>
      <c r="K67" s="26" t="str">
        <f>IF(C67="","",IF(LEN(C67)-LEN(SUBSTITUTE(C67,"/",""))+1=1,"TOP",IF(COUNTIF($C$4:INDEX($C:$C,ROW()-1),IFERROR(LEFT(C67,FIND("@",SUBSTITUTE(C67,"/","@",LEN(C67)-LEN(SUBSTITUTE(C67,"/",""))))-1),"ROOT"))&gt;0,"OK","CHECK")))</f>
        <v/>
      </c>
      <c r="L67" s="26" t="str">
        <f t="shared" si="6"/>
        <v/>
      </c>
      <c r="M67" s="26" t="str">
        <f t="shared" si="7"/>
        <v/>
      </c>
      <c r="N67" s="26" t="str">
        <f t="shared" si="8"/>
        <v/>
      </c>
    </row>
    <row r="68" spans="1:14" ht="22" customHeight="1" x14ac:dyDescent="0.25">
      <c r="A68" s="27"/>
      <c r="B68" s="10"/>
      <c r="C68" s="10"/>
      <c r="D68" s="10"/>
      <c r="E68" s="34" t="str">
        <f t="shared" ref="E68:E131" si="9">IF(D68="","",REPT("    ",MAX(F68-1,0))&amp;"|- "&amp;D68)</f>
        <v/>
      </c>
      <c r="F68" s="25" t="str">
        <f t="shared" ref="F68:F131" si="10">IF(C68="","",LEN(C68)-LEN(SUBSTITUTE(C68,"/",""))+1)</f>
        <v/>
      </c>
      <c r="G68" s="25" t="str">
        <f t="shared" ref="G68:G131" si="11">IF(C68="","",IFERROR(RIGHT(C68,LEN(C68)-FIND("@",SUBSTITUTE(C68,"/","@",LEN(C68)-LEN(SUBSTITUTE(C68,"/",""))))),C68))</f>
        <v/>
      </c>
      <c r="H68" s="25" t="str">
        <f t="shared" ref="H68:H131" si="12">IF(C68="","",IFERROR(LEFT(C68,FIND("@",SUBSTITUTE(C68,"/","@",LEN(C68)-LEN(SUBSTITUTE(C68,"/",""))))-1),"ROOT"))</f>
        <v/>
      </c>
      <c r="I68" s="25" t="str">
        <f t="shared" ref="I68:I131" si="13">IF(H68="","",IF(H68="ROOT","ROOT",IFERROR(RIGHT(H68,LEN(H68)-FIND("@",SUBSTITUTE(H68,"/","@",LEN(H68)-LEN(SUBSTITUTE(H68,"/",""))))),H68)))</f>
        <v/>
      </c>
      <c r="J68" s="26" t="str">
        <f t="shared" ref="J68:J131" si="14">IF(OR(B68="",C68=""),"",IF(AND(B68=IFERROR(RIGHT(C68,LEN(C68)-FIND("@",SUBSTITUTE(C68,"/","@",LEN(C68)-LEN(SUBSTITUTE(C68,"/",""))))),C68),ISERROR(SEARCH("/",B68)),LEFT(C68,1)&lt;&gt;"/",RIGHT(C68,1)&lt;&gt;"/",ISERROR(SEARCH(".",C68)),ISERROR(SEARCH("//",C68))),"OK","CHECK"))</f>
        <v/>
      </c>
      <c r="K68" s="26" t="str">
        <f>IF(C68="","",IF(LEN(C68)-LEN(SUBSTITUTE(C68,"/",""))+1=1,"TOP",IF(COUNTIF($C$4:INDEX($C:$C,ROW()-1),IFERROR(LEFT(C68,FIND("@",SUBSTITUTE(C68,"/","@",LEN(C68)-LEN(SUBSTITUTE(C68,"/",""))))-1),"ROOT"))&gt;0,"OK","CHECK")))</f>
        <v/>
      </c>
      <c r="L68" s="26" t="str">
        <f t="shared" ref="L68:L131" si="15">IF(C68="","",IF(COUNTIFS($A:$A,$A68,$C:$C,C68)=1,"OK","DUP"))</f>
        <v/>
      </c>
      <c r="M68" s="26" t="str">
        <f t="shared" ref="M68:M131" si="16">IF(B68="","",IF(COUNTIFS($A:$A,$A68,$B:$B,B68)=1,"OK","DUP"))</f>
        <v/>
      </c>
      <c r="N68" s="26" t="str">
        <f t="shared" ref="N68:N131" si="17">IF(OR(B68="",C68="",D68=""),"",IF(AND(J68="OK",OR(K68="OK",K68="TOP"),L68="OK",M68="OK"),"OK","CHECK"))</f>
        <v/>
      </c>
    </row>
    <row r="69" spans="1:14" ht="22" customHeight="1" x14ac:dyDescent="0.25">
      <c r="A69" s="27"/>
      <c r="B69" s="10"/>
      <c r="C69" s="10"/>
      <c r="D69" s="10"/>
      <c r="E69" s="34" t="str">
        <f t="shared" si="9"/>
        <v/>
      </c>
      <c r="F69" s="25" t="str">
        <f t="shared" si="10"/>
        <v/>
      </c>
      <c r="G69" s="25" t="str">
        <f t="shared" si="11"/>
        <v/>
      </c>
      <c r="H69" s="25" t="str">
        <f t="shared" si="12"/>
        <v/>
      </c>
      <c r="I69" s="25" t="str">
        <f t="shared" si="13"/>
        <v/>
      </c>
      <c r="J69" s="26" t="str">
        <f t="shared" si="14"/>
        <v/>
      </c>
      <c r="K69" s="26" t="str">
        <f>IF(C69="","",IF(LEN(C69)-LEN(SUBSTITUTE(C69,"/",""))+1=1,"TOP",IF(COUNTIF($C$4:INDEX($C:$C,ROW()-1),IFERROR(LEFT(C69,FIND("@",SUBSTITUTE(C69,"/","@",LEN(C69)-LEN(SUBSTITUTE(C69,"/",""))))-1),"ROOT"))&gt;0,"OK","CHECK")))</f>
        <v/>
      </c>
      <c r="L69" s="26" t="str">
        <f t="shared" si="15"/>
        <v/>
      </c>
      <c r="M69" s="26" t="str">
        <f t="shared" si="16"/>
        <v/>
      </c>
      <c r="N69" s="26" t="str">
        <f t="shared" si="17"/>
        <v/>
      </c>
    </row>
    <row r="70" spans="1:14" ht="22" customHeight="1" x14ac:dyDescent="0.25">
      <c r="A70" s="27"/>
      <c r="B70" s="10"/>
      <c r="C70" s="10"/>
      <c r="D70" s="10"/>
      <c r="E70" s="34" t="str">
        <f t="shared" si="9"/>
        <v/>
      </c>
      <c r="F70" s="25" t="str">
        <f t="shared" si="10"/>
        <v/>
      </c>
      <c r="G70" s="25" t="str">
        <f t="shared" si="11"/>
        <v/>
      </c>
      <c r="H70" s="25" t="str">
        <f t="shared" si="12"/>
        <v/>
      </c>
      <c r="I70" s="25" t="str">
        <f t="shared" si="13"/>
        <v/>
      </c>
      <c r="J70" s="26" t="str">
        <f t="shared" si="14"/>
        <v/>
      </c>
      <c r="K70" s="26" t="str">
        <f>IF(C70="","",IF(LEN(C70)-LEN(SUBSTITUTE(C70,"/",""))+1=1,"TOP",IF(COUNTIF($C$4:INDEX($C:$C,ROW()-1),IFERROR(LEFT(C70,FIND("@",SUBSTITUTE(C70,"/","@",LEN(C70)-LEN(SUBSTITUTE(C70,"/",""))))-1),"ROOT"))&gt;0,"OK","CHECK")))</f>
        <v/>
      </c>
      <c r="L70" s="26" t="str">
        <f t="shared" si="15"/>
        <v/>
      </c>
      <c r="M70" s="26" t="str">
        <f t="shared" si="16"/>
        <v/>
      </c>
      <c r="N70" s="26" t="str">
        <f t="shared" si="17"/>
        <v/>
      </c>
    </row>
    <row r="71" spans="1:14" ht="22" customHeight="1" x14ac:dyDescent="0.25">
      <c r="A71" s="27"/>
      <c r="B71" s="10"/>
      <c r="C71" s="10"/>
      <c r="D71" s="10"/>
      <c r="E71" s="34" t="str">
        <f t="shared" si="9"/>
        <v/>
      </c>
      <c r="F71" s="25" t="str">
        <f t="shared" si="10"/>
        <v/>
      </c>
      <c r="G71" s="25" t="str">
        <f t="shared" si="11"/>
        <v/>
      </c>
      <c r="H71" s="25" t="str">
        <f t="shared" si="12"/>
        <v/>
      </c>
      <c r="I71" s="25" t="str">
        <f t="shared" si="13"/>
        <v/>
      </c>
      <c r="J71" s="26" t="str">
        <f t="shared" si="14"/>
        <v/>
      </c>
      <c r="K71" s="26" t="str">
        <f>IF(C71="","",IF(LEN(C71)-LEN(SUBSTITUTE(C71,"/",""))+1=1,"TOP",IF(COUNTIF($C$4:INDEX($C:$C,ROW()-1),IFERROR(LEFT(C71,FIND("@",SUBSTITUTE(C71,"/","@",LEN(C71)-LEN(SUBSTITUTE(C71,"/",""))))-1),"ROOT"))&gt;0,"OK","CHECK")))</f>
        <v/>
      </c>
      <c r="L71" s="26" t="str">
        <f t="shared" si="15"/>
        <v/>
      </c>
      <c r="M71" s="26" t="str">
        <f t="shared" si="16"/>
        <v/>
      </c>
      <c r="N71" s="26" t="str">
        <f t="shared" si="17"/>
        <v/>
      </c>
    </row>
    <row r="72" spans="1:14" ht="22" customHeight="1" x14ac:dyDescent="0.25">
      <c r="A72" s="27"/>
      <c r="B72" s="10"/>
      <c r="C72" s="10"/>
      <c r="D72" s="10"/>
      <c r="E72" s="34" t="str">
        <f t="shared" si="9"/>
        <v/>
      </c>
      <c r="F72" s="25" t="str">
        <f t="shared" si="10"/>
        <v/>
      </c>
      <c r="G72" s="25" t="str">
        <f t="shared" si="11"/>
        <v/>
      </c>
      <c r="H72" s="25" t="str">
        <f t="shared" si="12"/>
        <v/>
      </c>
      <c r="I72" s="25" t="str">
        <f t="shared" si="13"/>
        <v/>
      </c>
      <c r="J72" s="26" t="str">
        <f t="shared" si="14"/>
        <v/>
      </c>
      <c r="K72" s="26" t="str">
        <f>IF(C72="","",IF(LEN(C72)-LEN(SUBSTITUTE(C72,"/",""))+1=1,"TOP",IF(COUNTIF($C$4:INDEX($C:$C,ROW()-1),IFERROR(LEFT(C72,FIND("@",SUBSTITUTE(C72,"/","@",LEN(C72)-LEN(SUBSTITUTE(C72,"/",""))))-1),"ROOT"))&gt;0,"OK","CHECK")))</f>
        <v/>
      </c>
      <c r="L72" s="26" t="str">
        <f t="shared" si="15"/>
        <v/>
      </c>
      <c r="M72" s="26" t="str">
        <f t="shared" si="16"/>
        <v/>
      </c>
      <c r="N72" s="26" t="str">
        <f t="shared" si="17"/>
        <v/>
      </c>
    </row>
    <row r="73" spans="1:14" ht="22" customHeight="1" x14ac:dyDescent="0.25">
      <c r="A73" s="27"/>
      <c r="B73" s="10"/>
      <c r="C73" s="10"/>
      <c r="D73" s="10"/>
      <c r="E73" s="34" t="str">
        <f t="shared" si="9"/>
        <v/>
      </c>
      <c r="F73" s="25" t="str">
        <f t="shared" si="10"/>
        <v/>
      </c>
      <c r="G73" s="25" t="str">
        <f t="shared" si="11"/>
        <v/>
      </c>
      <c r="H73" s="25" t="str">
        <f t="shared" si="12"/>
        <v/>
      </c>
      <c r="I73" s="25" t="str">
        <f t="shared" si="13"/>
        <v/>
      </c>
      <c r="J73" s="26" t="str">
        <f t="shared" si="14"/>
        <v/>
      </c>
      <c r="K73" s="26" t="str">
        <f>IF(C73="","",IF(LEN(C73)-LEN(SUBSTITUTE(C73,"/",""))+1=1,"TOP",IF(COUNTIF($C$4:INDEX($C:$C,ROW()-1),IFERROR(LEFT(C73,FIND("@",SUBSTITUTE(C73,"/","@",LEN(C73)-LEN(SUBSTITUTE(C73,"/",""))))-1),"ROOT"))&gt;0,"OK","CHECK")))</f>
        <v/>
      </c>
      <c r="L73" s="26" t="str">
        <f t="shared" si="15"/>
        <v/>
      </c>
      <c r="M73" s="26" t="str">
        <f t="shared" si="16"/>
        <v/>
      </c>
      <c r="N73" s="26" t="str">
        <f t="shared" si="17"/>
        <v/>
      </c>
    </row>
    <row r="74" spans="1:14" ht="22" customHeight="1" x14ac:dyDescent="0.25">
      <c r="A74" s="27"/>
      <c r="B74" s="10"/>
      <c r="C74" s="10"/>
      <c r="D74" s="10"/>
      <c r="E74" s="34" t="str">
        <f t="shared" si="9"/>
        <v/>
      </c>
      <c r="F74" s="25" t="str">
        <f t="shared" si="10"/>
        <v/>
      </c>
      <c r="G74" s="25" t="str">
        <f t="shared" si="11"/>
        <v/>
      </c>
      <c r="H74" s="25" t="str">
        <f t="shared" si="12"/>
        <v/>
      </c>
      <c r="I74" s="25" t="str">
        <f t="shared" si="13"/>
        <v/>
      </c>
      <c r="J74" s="26" t="str">
        <f t="shared" si="14"/>
        <v/>
      </c>
      <c r="K74" s="26" t="str">
        <f>IF(C74="","",IF(LEN(C74)-LEN(SUBSTITUTE(C74,"/",""))+1=1,"TOP",IF(COUNTIF($C$4:INDEX($C:$C,ROW()-1),IFERROR(LEFT(C74,FIND("@",SUBSTITUTE(C74,"/","@",LEN(C74)-LEN(SUBSTITUTE(C74,"/",""))))-1),"ROOT"))&gt;0,"OK","CHECK")))</f>
        <v/>
      </c>
      <c r="L74" s="26" t="str">
        <f t="shared" si="15"/>
        <v/>
      </c>
      <c r="M74" s="26" t="str">
        <f t="shared" si="16"/>
        <v/>
      </c>
      <c r="N74" s="26" t="str">
        <f t="shared" si="17"/>
        <v/>
      </c>
    </row>
    <row r="75" spans="1:14" ht="22" customHeight="1" x14ac:dyDescent="0.25">
      <c r="A75" s="27"/>
      <c r="B75" s="10"/>
      <c r="C75" s="10"/>
      <c r="D75" s="10"/>
      <c r="E75" s="34" t="str">
        <f t="shared" si="9"/>
        <v/>
      </c>
      <c r="F75" s="25" t="str">
        <f t="shared" si="10"/>
        <v/>
      </c>
      <c r="G75" s="25" t="str">
        <f t="shared" si="11"/>
        <v/>
      </c>
      <c r="H75" s="25" t="str">
        <f t="shared" si="12"/>
        <v/>
      </c>
      <c r="I75" s="25" t="str">
        <f t="shared" si="13"/>
        <v/>
      </c>
      <c r="J75" s="26" t="str">
        <f t="shared" si="14"/>
        <v/>
      </c>
      <c r="K75" s="26" t="str">
        <f>IF(C75="","",IF(LEN(C75)-LEN(SUBSTITUTE(C75,"/",""))+1=1,"TOP",IF(COUNTIF($C$4:INDEX($C:$C,ROW()-1),IFERROR(LEFT(C75,FIND("@",SUBSTITUTE(C75,"/","@",LEN(C75)-LEN(SUBSTITUTE(C75,"/",""))))-1),"ROOT"))&gt;0,"OK","CHECK")))</f>
        <v/>
      </c>
      <c r="L75" s="26" t="str">
        <f t="shared" si="15"/>
        <v/>
      </c>
      <c r="M75" s="26" t="str">
        <f t="shared" si="16"/>
        <v/>
      </c>
      <c r="N75" s="26" t="str">
        <f t="shared" si="17"/>
        <v/>
      </c>
    </row>
    <row r="76" spans="1:14" ht="22" customHeight="1" x14ac:dyDescent="0.25">
      <c r="A76" s="27"/>
      <c r="B76" s="10"/>
      <c r="C76" s="10"/>
      <c r="D76" s="10"/>
      <c r="E76" s="34" t="str">
        <f t="shared" si="9"/>
        <v/>
      </c>
      <c r="F76" s="25" t="str">
        <f t="shared" si="10"/>
        <v/>
      </c>
      <c r="G76" s="25" t="str">
        <f t="shared" si="11"/>
        <v/>
      </c>
      <c r="H76" s="25" t="str">
        <f t="shared" si="12"/>
        <v/>
      </c>
      <c r="I76" s="25" t="str">
        <f t="shared" si="13"/>
        <v/>
      </c>
      <c r="J76" s="26" t="str">
        <f t="shared" si="14"/>
        <v/>
      </c>
      <c r="K76" s="26" t="str">
        <f>IF(C76="","",IF(LEN(C76)-LEN(SUBSTITUTE(C76,"/",""))+1=1,"TOP",IF(COUNTIF($C$4:INDEX($C:$C,ROW()-1),IFERROR(LEFT(C76,FIND("@",SUBSTITUTE(C76,"/","@",LEN(C76)-LEN(SUBSTITUTE(C76,"/",""))))-1),"ROOT"))&gt;0,"OK","CHECK")))</f>
        <v/>
      </c>
      <c r="L76" s="26" t="str">
        <f t="shared" si="15"/>
        <v/>
      </c>
      <c r="M76" s="26" t="str">
        <f t="shared" si="16"/>
        <v/>
      </c>
      <c r="N76" s="26" t="str">
        <f t="shared" si="17"/>
        <v/>
      </c>
    </row>
    <row r="77" spans="1:14" ht="22" customHeight="1" x14ac:dyDescent="0.25">
      <c r="A77" s="27"/>
      <c r="B77" s="10"/>
      <c r="C77" s="10"/>
      <c r="D77" s="10"/>
      <c r="E77" s="34" t="str">
        <f t="shared" si="9"/>
        <v/>
      </c>
      <c r="F77" s="25" t="str">
        <f t="shared" si="10"/>
        <v/>
      </c>
      <c r="G77" s="25" t="str">
        <f t="shared" si="11"/>
        <v/>
      </c>
      <c r="H77" s="25" t="str">
        <f t="shared" si="12"/>
        <v/>
      </c>
      <c r="I77" s="25" t="str">
        <f t="shared" si="13"/>
        <v/>
      </c>
      <c r="J77" s="26" t="str">
        <f t="shared" si="14"/>
        <v/>
      </c>
      <c r="K77" s="26" t="str">
        <f>IF(C77="","",IF(LEN(C77)-LEN(SUBSTITUTE(C77,"/",""))+1=1,"TOP",IF(COUNTIF($C$4:INDEX($C:$C,ROW()-1),IFERROR(LEFT(C77,FIND("@",SUBSTITUTE(C77,"/","@",LEN(C77)-LEN(SUBSTITUTE(C77,"/",""))))-1),"ROOT"))&gt;0,"OK","CHECK")))</f>
        <v/>
      </c>
      <c r="L77" s="26" t="str">
        <f t="shared" si="15"/>
        <v/>
      </c>
      <c r="M77" s="26" t="str">
        <f t="shared" si="16"/>
        <v/>
      </c>
      <c r="N77" s="26" t="str">
        <f t="shared" si="17"/>
        <v/>
      </c>
    </row>
    <row r="78" spans="1:14" ht="22" customHeight="1" x14ac:dyDescent="0.25">
      <c r="A78" s="27"/>
      <c r="B78" s="10"/>
      <c r="C78" s="10"/>
      <c r="D78" s="10"/>
      <c r="E78" s="34" t="str">
        <f t="shared" si="9"/>
        <v/>
      </c>
      <c r="F78" s="25" t="str">
        <f t="shared" si="10"/>
        <v/>
      </c>
      <c r="G78" s="25" t="str">
        <f t="shared" si="11"/>
        <v/>
      </c>
      <c r="H78" s="25" t="str">
        <f t="shared" si="12"/>
        <v/>
      </c>
      <c r="I78" s="25" t="str">
        <f t="shared" si="13"/>
        <v/>
      </c>
      <c r="J78" s="26" t="str">
        <f t="shared" si="14"/>
        <v/>
      </c>
      <c r="K78" s="26" t="str">
        <f>IF(C78="","",IF(LEN(C78)-LEN(SUBSTITUTE(C78,"/",""))+1=1,"TOP",IF(COUNTIF($C$4:INDEX($C:$C,ROW()-1),IFERROR(LEFT(C78,FIND("@",SUBSTITUTE(C78,"/","@",LEN(C78)-LEN(SUBSTITUTE(C78,"/",""))))-1),"ROOT"))&gt;0,"OK","CHECK")))</f>
        <v/>
      </c>
      <c r="L78" s="26" t="str">
        <f t="shared" si="15"/>
        <v/>
      </c>
      <c r="M78" s="26" t="str">
        <f t="shared" si="16"/>
        <v/>
      </c>
      <c r="N78" s="26" t="str">
        <f t="shared" si="17"/>
        <v/>
      </c>
    </row>
    <row r="79" spans="1:14" ht="22" customHeight="1" x14ac:dyDescent="0.25">
      <c r="A79" s="27"/>
      <c r="B79" s="10"/>
      <c r="C79" s="10"/>
      <c r="D79" s="10"/>
      <c r="E79" s="34" t="str">
        <f t="shared" si="9"/>
        <v/>
      </c>
      <c r="F79" s="25" t="str">
        <f t="shared" si="10"/>
        <v/>
      </c>
      <c r="G79" s="25" t="str">
        <f t="shared" si="11"/>
        <v/>
      </c>
      <c r="H79" s="25" t="str">
        <f t="shared" si="12"/>
        <v/>
      </c>
      <c r="I79" s="25" t="str">
        <f t="shared" si="13"/>
        <v/>
      </c>
      <c r="J79" s="26" t="str">
        <f t="shared" si="14"/>
        <v/>
      </c>
      <c r="K79" s="26" t="str">
        <f>IF(C79="","",IF(LEN(C79)-LEN(SUBSTITUTE(C79,"/",""))+1=1,"TOP",IF(COUNTIF($C$4:INDEX($C:$C,ROW()-1),IFERROR(LEFT(C79,FIND("@",SUBSTITUTE(C79,"/","@",LEN(C79)-LEN(SUBSTITUTE(C79,"/",""))))-1),"ROOT"))&gt;0,"OK","CHECK")))</f>
        <v/>
      </c>
      <c r="L79" s="26" t="str">
        <f t="shared" si="15"/>
        <v/>
      </c>
      <c r="M79" s="26" t="str">
        <f t="shared" si="16"/>
        <v/>
      </c>
      <c r="N79" s="26" t="str">
        <f t="shared" si="17"/>
        <v/>
      </c>
    </row>
    <row r="80" spans="1:14" ht="22" customHeight="1" x14ac:dyDescent="0.25">
      <c r="A80" s="27"/>
      <c r="B80" s="10"/>
      <c r="C80" s="10"/>
      <c r="D80" s="10"/>
      <c r="E80" s="34" t="str">
        <f t="shared" si="9"/>
        <v/>
      </c>
      <c r="F80" s="25" t="str">
        <f t="shared" si="10"/>
        <v/>
      </c>
      <c r="G80" s="25" t="str">
        <f t="shared" si="11"/>
        <v/>
      </c>
      <c r="H80" s="25" t="str">
        <f t="shared" si="12"/>
        <v/>
      </c>
      <c r="I80" s="25" t="str">
        <f t="shared" si="13"/>
        <v/>
      </c>
      <c r="J80" s="26" t="str">
        <f t="shared" si="14"/>
        <v/>
      </c>
      <c r="K80" s="26" t="str">
        <f>IF(C80="","",IF(LEN(C80)-LEN(SUBSTITUTE(C80,"/",""))+1=1,"TOP",IF(COUNTIF($C$4:INDEX($C:$C,ROW()-1),IFERROR(LEFT(C80,FIND("@",SUBSTITUTE(C80,"/","@",LEN(C80)-LEN(SUBSTITUTE(C80,"/",""))))-1),"ROOT"))&gt;0,"OK","CHECK")))</f>
        <v/>
      </c>
      <c r="L80" s="26" t="str">
        <f t="shared" si="15"/>
        <v/>
      </c>
      <c r="M80" s="26" t="str">
        <f t="shared" si="16"/>
        <v/>
      </c>
      <c r="N80" s="26" t="str">
        <f t="shared" si="17"/>
        <v/>
      </c>
    </row>
    <row r="81" spans="1:14" ht="22" customHeight="1" x14ac:dyDescent="0.25">
      <c r="A81" s="27"/>
      <c r="B81" s="10"/>
      <c r="C81" s="10"/>
      <c r="D81" s="10"/>
      <c r="E81" s="34" t="str">
        <f t="shared" si="9"/>
        <v/>
      </c>
      <c r="F81" s="25" t="str">
        <f t="shared" si="10"/>
        <v/>
      </c>
      <c r="G81" s="25" t="str">
        <f t="shared" si="11"/>
        <v/>
      </c>
      <c r="H81" s="25" t="str">
        <f t="shared" si="12"/>
        <v/>
      </c>
      <c r="I81" s="25" t="str">
        <f t="shared" si="13"/>
        <v/>
      </c>
      <c r="J81" s="26" t="str">
        <f t="shared" si="14"/>
        <v/>
      </c>
      <c r="K81" s="26" t="str">
        <f>IF(C81="","",IF(LEN(C81)-LEN(SUBSTITUTE(C81,"/",""))+1=1,"TOP",IF(COUNTIF($C$4:INDEX($C:$C,ROW()-1),IFERROR(LEFT(C81,FIND("@",SUBSTITUTE(C81,"/","@",LEN(C81)-LEN(SUBSTITUTE(C81,"/",""))))-1),"ROOT"))&gt;0,"OK","CHECK")))</f>
        <v/>
      </c>
      <c r="L81" s="26" t="str">
        <f t="shared" si="15"/>
        <v/>
      </c>
      <c r="M81" s="26" t="str">
        <f t="shared" si="16"/>
        <v/>
      </c>
      <c r="N81" s="26" t="str">
        <f t="shared" si="17"/>
        <v/>
      </c>
    </row>
    <row r="82" spans="1:14" ht="22" customHeight="1" x14ac:dyDescent="0.25">
      <c r="A82" s="27"/>
      <c r="B82" s="10"/>
      <c r="C82" s="10"/>
      <c r="D82" s="10"/>
      <c r="E82" s="34" t="str">
        <f t="shared" si="9"/>
        <v/>
      </c>
      <c r="F82" s="25" t="str">
        <f t="shared" si="10"/>
        <v/>
      </c>
      <c r="G82" s="25" t="str">
        <f t="shared" si="11"/>
        <v/>
      </c>
      <c r="H82" s="25" t="str">
        <f t="shared" si="12"/>
        <v/>
      </c>
      <c r="I82" s="25" t="str">
        <f t="shared" si="13"/>
        <v/>
      </c>
      <c r="J82" s="26" t="str">
        <f t="shared" si="14"/>
        <v/>
      </c>
      <c r="K82" s="26" t="str">
        <f>IF(C82="","",IF(LEN(C82)-LEN(SUBSTITUTE(C82,"/",""))+1=1,"TOP",IF(COUNTIF($C$4:INDEX($C:$C,ROW()-1),IFERROR(LEFT(C82,FIND("@",SUBSTITUTE(C82,"/","@",LEN(C82)-LEN(SUBSTITUTE(C82,"/",""))))-1),"ROOT"))&gt;0,"OK","CHECK")))</f>
        <v/>
      </c>
      <c r="L82" s="26" t="str">
        <f t="shared" si="15"/>
        <v/>
      </c>
      <c r="M82" s="26" t="str">
        <f t="shared" si="16"/>
        <v/>
      </c>
      <c r="N82" s="26" t="str">
        <f t="shared" si="17"/>
        <v/>
      </c>
    </row>
    <row r="83" spans="1:14" ht="22" customHeight="1" x14ac:dyDescent="0.25">
      <c r="A83" s="27"/>
      <c r="B83" s="10"/>
      <c r="C83" s="10"/>
      <c r="D83" s="10"/>
      <c r="E83" s="34" t="str">
        <f t="shared" si="9"/>
        <v/>
      </c>
      <c r="F83" s="25" t="str">
        <f t="shared" si="10"/>
        <v/>
      </c>
      <c r="G83" s="25" t="str">
        <f t="shared" si="11"/>
        <v/>
      </c>
      <c r="H83" s="25" t="str">
        <f t="shared" si="12"/>
        <v/>
      </c>
      <c r="I83" s="25" t="str">
        <f t="shared" si="13"/>
        <v/>
      </c>
      <c r="J83" s="26" t="str">
        <f t="shared" si="14"/>
        <v/>
      </c>
      <c r="K83" s="26" t="str">
        <f>IF(C83="","",IF(LEN(C83)-LEN(SUBSTITUTE(C83,"/",""))+1=1,"TOP",IF(COUNTIF($C$4:INDEX($C:$C,ROW()-1),IFERROR(LEFT(C83,FIND("@",SUBSTITUTE(C83,"/","@",LEN(C83)-LEN(SUBSTITUTE(C83,"/",""))))-1),"ROOT"))&gt;0,"OK","CHECK")))</f>
        <v/>
      </c>
      <c r="L83" s="26" t="str">
        <f t="shared" si="15"/>
        <v/>
      </c>
      <c r="M83" s="26" t="str">
        <f t="shared" si="16"/>
        <v/>
      </c>
      <c r="N83" s="26" t="str">
        <f t="shared" si="17"/>
        <v/>
      </c>
    </row>
    <row r="84" spans="1:14" ht="22" customHeight="1" x14ac:dyDescent="0.25">
      <c r="A84" s="27"/>
      <c r="B84" s="10"/>
      <c r="C84" s="10"/>
      <c r="D84" s="10"/>
      <c r="E84" s="34" t="str">
        <f t="shared" si="9"/>
        <v/>
      </c>
      <c r="F84" s="25" t="str">
        <f t="shared" si="10"/>
        <v/>
      </c>
      <c r="G84" s="25" t="str">
        <f t="shared" si="11"/>
        <v/>
      </c>
      <c r="H84" s="25" t="str">
        <f t="shared" si="12"/>
        <v/>
      </c>
      <c r="I84" s="25" t="str">
        <f t="shared" si="13"/>
        <v/>
      </c>
      <c r="J84" s="26" t="str">
        <f t="shared" si="14"/>
        <v/>
      </c>
      <c r="K84" s="26" t="str">
        <f>IF(C84="","",IF(LEN(C84)-LEN(SUBSTITUTE(C84,"/",""))+1=1,"TOP",IF(COUNTIF($C$4:INDEX($C:$C,ROW()-1),IFERROR(LEFT(C84,FIND("@",SUBSTITUTE(C84,"/","@",LEN(C84)-LEN(SUBSTITUTE(C84,"/",""))))-1),"ROOT"))&gt;0,"OK","CHECK")))</f>
        <v/>
      </c>
      <c r="L84" s="26" t="str">
        <f t="shared" si="15"/>
        <v/>
      </c>
      <c r="M84" s="26" t="str">
        <f t="shared" si="16"/>
        <v/>
      </c>
      <c r="N84" s="26" t="str">
        <f t="shared" si="17"/>
        <v/>
      </c>
    </row>
    <row r="85" spans="1:14" ht="22" customHeight="1" x14ac:dyDescent="0.25">
      <c r="A85" s="27"/>
      <c r="B85" s="10"/>
      <c r="C85" s="10"/>
      <c r="D85" s="10"/>
      <c r="E85" s="34" t="str">
        <f t="shared" si="9"/>
        <v/>
      </c>
      <c r="F85" s="25" t="str">
        <f t="shared" si="10"/>
        <v/>
      </c>
      <c r="G85" s="25" t="str">
        <f t="shared" si="11"/>
        <v/>
      </c>
      <c r="H85" s="25" t="str">
        <f t="shared" si="12"/>
        <v/>
      </c>
      <c r="I85" s="25" t="str">
        <f t="shared" si="13"/>
        <v/>
      </c>
      <c r="J85" s="26" t="str">
        <f t="shared" si="14"/>
        <v/>
      </c>
      <c r="K85" s="26" t="str">
        <f>IF(C85="","",IF(LEN(C85)-LEN(SUBSTITUTE(C85,"/",""))+1=1,"TOP",IF(COUNTIF($C$4:INDEX($C:$C,ROW()-1),IFERROR(LEFT(C85,FIND("@",SUBSTITUTE(C85,"/","@",LEN(C85)-LEN(SUBSTITUTE(C85,"/",""))))-1),"ROOT"))&gt;0,"OK","CHECK")))</f>
        <v/>
      </c>
      <c r="L85" s="26" t="str">
        <f t="shared" si="15"/>
        <v/>
      </c>
      <c r="M85" s="26" t="str">
        <f t="shared" si="16"/>
        <v/>
      </c>
      <c r="N85" s="26" t="str">
        <f t="shared" si="17"/>
        <v/>
      </c>
    </row>
    <row r="86" spans="1:14" ht="22" customHeight="1" x14ac:dyDescent="0.25">
      <c r="A86" s="27"/>
      <c r="B86" s="10"/>
      <c r="C86" s="10"/>
      <c r="D86" s="10"/>
      <c r="E86" s="34" t="str">
        <f t="shared" si="9"/>
        <v/>
      </c>
      <c r="F86" s="25" t="str">
        <f t="shared" si="10"/>
        <v/>
      </c>
      <c r="G86" s="25" t="str">
        <f t="shared" si="11"/>
        <v/>
      </c>
      <c r="H86" s="25" t="str">
        <f t="shared" si="12"/>
        <v/>
      </c>
      <c r="I86" s="25" t="str">
        <f t="shared" si="13"/>
        <v/>
      </c>
      <c r="J86" s="26" t="str">
        <f t="shared" si="14"/>
        <v/>
      </c>
      <c r="K86" s="26" t="str">
        <f>IF(C86="","",IF(LEN(C86)-LEN(SUBSTITUTE(C86,"/",""))+1=1,"TOP",IF(COUNTIF($C$4:INDEX($C:$C,ROW()-1),IFERROR(LEFT(C86,FIND("@",SUBSTITUTE(C86,"/","@",LEN(C86)-LEN(SUBSTITUTE(C86,"/",""))))-1),"ROOT"))&gt;0,"OK","CHECK")))</f>
        <v/>
      </c>
      <c r="L86" s="26" t="str">
        <f t="shared" si="15"/>
        <v/>
      </c>
      <c r="M86" s="26" t="str">
        <f t="shared" si="16"/>
        <v/>
      </c>
      <c r="N86" s="26" t="str">
        <f t="shared" si="17"/>
        <v/>
      </c>
    </row>
    <row r="87" spans="1:14" ht="22" customHeight="1" x14ac:dyDescent="0.25">
      <c r="A87" s="27"/>
      <c r="B87" s="10"/>
      <c r="C87" s="10"/>
      <c r="D87" s="10"/>
      <c r="E87" s="34" t="str">
        <f t="shared" si="9"/>
        <v/>
      </c>
      <c r="F87" s="25" t="str">
        <f t="shared" si="10"/>
        <v/>
      </c>
      <c r="G87" s="25" t="str">
        <f t="shared" si="11"/>
        <v/>
      </c>
      <c r="H87" s="25" t="str">
        <f t="shared" si="12"/>
        <v/>
      </c>
      <c r="I87" s="25" t="str">
        <f t="shared" si="13"/>
        <v/>
      </c>
      <c r="J87" s="26" t="str">
        <f t="shared" si="14"/>
        <v/>
      </c>
      <c r="K87" s="26" t="str">
        <f>IF(C87="","",IF(LEN(C87)-LEN(SUBSTITUTE(C87,"/",""))+1=1,"TOP",IF(COUNTIF($C$4:INDEX($C:$C,ROW()-1),IFERROR(LEFT(C87,FIND("@",SUBSTITUTE(C87,"/","@",LEN(C87)-LEN(SUBSTITUTE(C87,"/",""))))-1),"ROOT"))&gt;0,"OK","CHECK")))</f>
        <v/>
      </c>
      <c r="L87" s="26" t="str">
        <f t="shared" si="15"/>
        <v/>
      </c>
      <c r="M87" s="26" t="str">
        <f t="shared" si="16"/>
        <v/>
      </c>
      <c r="N87" s="26" t="str">
        <f t="shared" si="17"/>
        <v/>
      </c>
    </row>
    <row r="88" spans="1:14" ht="22" customHeight="1" x14ac:dyDescent="0.25">
      <c r="A88" s="27"/>
      <c r="B88" s="10"/>
      <c r="C88" s="10"/>
      <c r="D88" s="10"/>
      <c r="E88" s="34" t="str">
        <f t="shared" si="9"/>
        <v/>
      </c>
      <c r="F88" s="25" t="str">
        <f t="shared" si="10"/>
        <v/>
      </c>
      <c r="G88" s="25" t="str">
        <f t="shared" si="11"/>
        <v/>
      </c>
      <c r="H88" s="25" t="str">
        <f t="shared" si="12"/>
        <v/>
      </c>
      <c r="I88" s="25" t="str">
        <f t="shared" si="13"/>
        <v/>
      </c>
      <c r="J88" s="26" t="str">
        <f t="shared" si="14"/>
        <v/>
      </c>
      <c r="K88" s="26" t="str">
        <f>IF(C88="","",IF(LEN(C88)-LEN(SUBSTITUTE(C88,"/",""))+1=1,"TOP",IF(COUNTIF($C$4:INDEX($C:$C,ROW()-1),IFERROR(LEFT(C88,FIND("@",SUBSTITUTE(C88,"/","@",LEN(C88)-LEN(SUBSTITUTE(C88,"/",""))))-1),"ROOT"))&gt;0,"OK","CHECK")))</f>
        <v/>
      </c>
      <c r="L88" s="26" t="str">
        <f t="shared" si="15"/>
        <v/>
      </c>
      <c r="M88" s="26" t="str">
        <f t="shared" si="16"/>
        <v/>
      </c>
      <c r="N88" s="26" t="str">
        <f t="shared" si="17"/>
        <v/>
      </c>
    </row>
    <row r="89" spans="1:14" ht="22" customHeight="1" x14ac:dyDescent="0.25">
      <c r="A89" s="27"/>
      <c r="B89" s="10"/>
      <c r="C89" s="10"/>
      <c r="D89" s="10"/>
      <c r="E89" s="34" t="str">
        <f t="shared" si="9"/>
        <v/>
      </c>
      <c r="F89" s="25" t="str">
        <f t="shared" si="10"/>
        <v/>
      </c>
      <c r="G89" s="25" t="str">
        <f t="shared" si="11"/>
        <v/>
      </c>
      <c r="H89" s="25" t="str">
        <f t="shared" si="12"/>
        <v/>
      </c>
      <c r="I89" s="25" t="str">
        <f t="shared" si="13"/>
        <v/>
      </c>
      <c r="J89" s="26" t="str">
        <f t="shared" si="14"/>
        <v/>
      </c>
      <c r="K89" s="26" t="str">
        <f>IF(C89="","",IF(LEN(C89)-LEN(SUBSTITUTE(C89,"/",""))+1=1,"TOP",IF(COUNTIF($C$4:INDEX($C:$C,ROW()-1),IFERROR(LEFT(C89,FIND("@",SUBSTITUTE(C89,"/","@",LEN(C89)-LEN(SUBSTITUTE(C89,"/",""))))-1),"ROOT"))&gt;0,"OK","CHECK")))</f>
        <v/>
      </c>
      <c r="L89" s="26" t="str">
        <f t="shared" si="15"/>
        <v/>
      </c>
      <c r="M89" s="26" t="str">
        <f t="shared" si="16"/>
        <v/>
      </c>
      <c r="N89" s="26" t="str">
        <f t="shared" si="17"/>
        <v/>
      </c>
    </row>
    <row r="90" spans="1:14" ht="22" customHeight="1" x14ac:dyDescent="0.25">
      <c r="A90" s="27"/>
      <c r="B90" s="10"/>
      <c r="C90" s="10"/>
      <c r="D90" s="10"/>
      <c r="E90" s="34" t="str">
        <f t="shared" si="9"/>
        <v/>
      </c>
      <c r="F90" s="25" t="str">
        <f t="shared" si="10"/>
        <v/>
      </c>
      <c r="G90" s="25" t="str">
        <f t="shared" si="11"/>
        <v/>
      </c>
      <c r="H90" s="25" t="str">
        <f t="shared" si="12"/>
        <v/>
      </c>
      <c r="I90" s="25" t="str">
        <f t="shared" si="13"/>
        <v/>
      </c>
      <c r="J90" s="26" t="str">
        <f t="shared" si="14"/>
        <v/>
      </c>
      <c r="K90" s="26" t="str">
        <f>IF(C90="","",IF(LEN(C90)-LEN(SUBSTITUTE(C90,"/",""))+1=1,"TOP",IF(COUNTIF($C$4:INDEX($C:$C,ROW()-1),IFERROR(LEFT(C90,FIND("@",SUBSTITUTE(C90,"/","@",LEN(C90)-LEN(SUBSTITUTE(C90,"/",""))))-1),"ROOT"))&gt;0,"OK","CHECK")))</f>
        <v/>
      </c>
      <c r="L90" s="26" t="str">
        <f t="shared" si="15"/>
        <v/>
      </c>
      <c r="M90" s="26" t="str">
        <f t="shared" si="16"/>
        <v/>
      </c>
      <c r="N90" s="26" t="str">
        <f t="shared" si="17"/>
        <v/>
      </c>
    </row>
    <row r="91" spans="1:14" ht="22" customHeight="1" x14ac:dyDescent="0.25">
      <c r="A91" s="27"/>
      <c r="B91" s="10"/>
      <c r="C91" s="10"/>
      <c r="D91" s="10"/>
      <c r="E91" s="34" t="str">
        <f t="shared" si="9"/>
        <v/>
      </c>
      <c r="F91" s="25" t="str">
        <f t="shared" si="10"/>
        <v/>
      </c>
      <c r="G91" s="25" t="str">
        <f t="shared" si="11"/>
        <v/>
      </c>
      <c r="H91" s="25" t="str">
        <f t="shared" si="12"/>
        <v/>
      </c>
      <c r="I91" s="25" t="str">
        <f t="shared" si="13"/>
        <v/>
      </c>
      <c r="J91" s="26" t="str">
        <f t="shared" si="14"/>
        <v/>
      </c>
      <c r="K91" s="26" t="str">
        <f>IF(C91="","",IF(LEN(C91)-LEN(SUBSTITUTE(C91,"/",""))+1=1,"TOP",IF(COUNTIF($C$4:INDEX($C:$C,ROW()-1),IFERROR(LEFT(C91,FIND("@",SUBSTITUTE(C91,"/","@",LEN(C91)-LEN(SUBSTITUTE(C91,"/",""))))-1),"ROOT"))&gt;0,"OK","CHECK")))</f>
        <v/>
      </c>
      <c r="L91" s="26" t="str">
        <f t="shared" si="15"/>
        <v/>
      </c>
      <c r="M91" s="26" t="str">
        <f t="shared" si="16"/>
        <v/>
      </c>
      <c r="N91" s="26" t="str">
        <f t="shared" si="17"/>
        <v/>
      </c>
    </row>
    <row r="92" spans="1:14" ht="22" customHeight="1" x14ac:dyDescent="0.25">
      <c r="A92" s="27"/>
      <c r="B92" s="10"/>
      <c r="C92" s="10"/>
      <c r="D92" s="10"/>
      <c r="E92" s="34" t="str">
        <f t="shared" si="9"/>
        <v/>
      </c>
      <c r="F92" s="25" t="str">
        <f t="shared" si="10"/>
        <v/>
      </c>
      <c r="G92" s="25" t="str">
        <f t="shared" si="11"/>
        <v/>
      </c>
      <c r="H92" s="25" t="str">
        <f t="shared" si="12"/>
        <v/>
      </c>
      <c r="I92" s="25" t="str">
        <f t="shared" si="13"/>
        <v/>
      </c>
      <c r="J92" s="26" t="str">
        <f t="shared" si="14"/>
        <v/>
      </c>
      <c r="K92" s="26" t="str">
        <f>IF(C92="","",IF(LEN(C92)-LEN(SUBSTITUTE(C92,"/",""))+1=1,"TOP",IF(COUNTIF($C$4:INDEX($C:$C,ROW()-1),IFERROR(LEFT(C92,FIND("@",SUBSTITUTE(C92,"/","@",LEN(C92)-LEN(SUBSTITUTE(C92,"/",""))))-1),"ROOT"))&gt;0,"OK","CHECK")))</f>
        <v/>
      </c>
      <c r="L92" s="26" t="str">
        <f t="shared" si="15"/>
        <v/>
      </c>
      <c r="M92" s="26" t="str">
        <f t="shared" si="16"/>
        <v/>
      </c>
      <c r="N92" s="26" t="str">
        <f t="shared" si="17"/>
        <v/>
      </c>
    </row>
    <row r="93" spans="1:14" ht="22" customHeight="1" x14ac:dyDescent="0.25">
      <c r="A93" s="27"/>
      <c r="B93" s="10"/>
      <c r="C93" s="10"/>
      <c r="D93" s="10"/>
      <c r="E93" s="34" t="str">
        <f t="shared" si="9"/>
        <v/>
      </c>
      <c r="F93" s="25" t="str">
        <f t="shared" si="10"/>
        <v/>
      </c>
      <c r="G93" s="25" t="str">
        <f t="shared" si="11"/>
        <v/>
      </c>
      <c r="H93" s="25" t="str">
        <f t="shared" si="12"/>
        <v/>
      </c>
      <c r="I93" s="25" t="str">
        <f t="shared" si="13"/>
        <v/>
      </c>
      <c r="J93" s="26" t="str">
        <f t="shared" si="14"/>
        <v/>
      </c>
      <c r="K93" s="26" t="str">
        <f>IF(C93="","",IF(LEN(C93)-LEN(SUBSTITUTE(C93,"/",""))+1=1,"TOP",IF(COUNTIF($C$4:INDEX($C:$C,ROW()-1),IFERROR(LEFT(C93,FIND("@",SUBSTITUTE(C93,"/","@",LEN(C93)-LEN(SUBSTITUTE(C93,"/",""))))-1),"ROOT"))&gt;0,"OK","CHECK")))</f>
        <v/>
      </c>
      <c r="L93" s="26" t="str">
        <f t="shared" si="15"/>
        <v/>
      </c>
      <c r="M93" s="26" t="str">
        <f t="shared" si="16"/>
        <v/>
      </c>
      <c r="N93" s="26" t="str">
        <f t="shared" si="17"/>
        <v/>
      </c>
    </row>
    <row r="94" spans="1:14" ht="22" customHeight="1" x14ac:dyDescent="0.25">
      <c r="A94" s="27"/>
      <c r="B94" s="10"/>
      <c r="C94" s="10"/>
      <c r="D94" s="10"/>
      <c r="E94" s="34" t="str">
        <f t="shared" si="9"/>
        <v/>
      </c>
      <c r="F94" s="25" t="str">
        <f t="shared" si="10"/>
        <v/>
      </c>
      <c r="G94" s="25" t="str">
        <f t="shared" si="11"/>
        <v/>
      </c>
      <c r="H94" s="25" t="str">
        <f t="shared" si="12"/>
        <v/>
      </c>
      <c r="I94" s="25" t="str">
        <f t="shared" si="13"/>
        <v/>
      </c>
      <c r="J94" s="26" t="str">
        <f t="shared" si="14"/>
        <v/>
      </c>
      <c r="K94" s="26" t="str">
        <f>IF(C94="","",IF(LEN(C94)-LEN(SUBSTITUTE(C94,"/",""))+1=1,"TOP",IF(COUNTIF($C$4:INDEX($C:$C,ROW()-1),IFERROR(LEFT(C94,FIND("@",SUBSTITUTE(C94,"/","@",LEN(C94)-LEN(SUBSTITUTE(C94,"/",""))))-1),"ROOT"))&gt;0,"OK","CHECK")))</f>
        <v/>
      </c>
      <c r="L94" s="26" t="str">
        <f t="shared" si="15"/>
        <v/>
      </c>
      <c r="M94" s="26" t="str">
        <f t="shared" si="16"/>
        <v/>
      </c>
      <c r="N94" s="26" t="str">
        <f t="shared" si="17"/>
        <v/>
      </c>
    </row>
    <row r="95" spans="1:14" ht="22" customHeight="1" x14ac:dyDescent="0.25">
      <c r="A95" s="27"/>
      <c r="B95" s="10"/>
      <c r="C95" s="10"/>
      <c r="D95" s="10"/>
      <c r="E95" s="34" t="str">
        <f t="shared" si="9"/>
        <v/>
      </c>
      <c r="F95" s="25" t="str">
        <f t="shared" si="10"/>
        <v/>
      </c>
      <c r="G95" s="25" t="str">
        <f t="shared" si="11"/>
        <v/>
      </c>
      <c r="H95" s="25" t="str">
        <f t="shared" si="12"/>
        <v/>
      </c>
      <c r="I95" s="25" t="str">
        <f t="shared" si="13"/>
        <v/>
      </c>
      <c r="J95" s="26" t="str">
        <f t="shared" si="14"/>
        <v/>
      </c>
      <c r="K95" s="26" t="str">
        <f>IF(C95="","",IF(LEN(C95)-LEN(SUBSTITUTE(C95,"/",""))+1=1,"TOP",IF(COUNTIF($C$4:INDEX($C:$C,ROW()-1),IFERROR(LEFT(C95,FIND("@",SUBSTITUTE(C95,"/","@",LEN(C95)-LEN(SUBSTITUTE(C95,"/",""))))-1),"ROOT"))&gt;0,"OK","CHECK")))</f>
        <v/>
      </c>
      <c r="L95" s="26" t="str">
        <f t="shared" si="15"/>
        <v/>
      </c>
      <c r="M95" s="26" t="str">
        <f t="shared" si="16"/>
        <v/>
      </c>
      <c r="N95" s="26" t="str">
        <f t="shared" si="17"/>
        <v/>
      </c>
    </row>
    <row r="96" spans="1:14" ht="22" customHeight="1" x14ac:dyDescent="0.25">
      <c r="A96" s="27"/>
      <c r="B96" s="10"/>
      <c r="C96" s="10"/>
      <c r="D96" s="10"/>
      <c r="E96" s="34" t="str">
        <f t="shared" si="9"/>
        <v/>
      </c>
      <c r="F96" s="25" t="str">
        <f t="shared" si="10"/>
        <v/>
      </c>
      <c r="G96" s="25" t="str">
        <f t="shared" si="11"/>
        <v/>
      </c>
      <c r="H96" s="25" t="str">
        <f t="shared" si="12"/>
        <v/>
      </c>
      <c r="I96" s="25" t="str">
        <f t="shared" si="13"/>
        <v/>
      </c>
      <c r="J96" s="26" t="str">
        <f t="shared" si="14"/>
        <v/>
      </c>
      <c r="K96" s="26" t="str">
        <f>IF(C96="","",IF(LEN(C96)-LEN(SUBSTITUTE(C96,"/",""))+1=1,"TOP",IF(COUNTIF($C$4:INDEX($C:$C,ROW()-1),IFERROR(LEFT(C96,FIND("@",SUBSTITUTE(C96,"/","@",LEN(C96)-LEN(SUBSTITUTE(C96,"/",""))))-1),"ROOT"))&gt;0,"OK","CHECK")))</f>
        <v/>
      </c>
      <c r="L96" s="26" t="str">
        <f t="shared" si="15"/>
        <v/>
      </c>
      <c r="M96" s="26" t="str">
        <f t="shared" si="16"/>
        <v/>
      </c>
      <c r="N96" s="26" t="str">
        <f t="shared" si="17"/>
        <v/>
      </c>
    </row>
    <row r="97" spans="1:14" ht="22" customHeight="1" x14ac:dyDescent="0.25">
      <c r="A97" s="27"/>
      <c r="B97" s="10"/>
      <c r="C97" s="10"/>
      <c r="D97" s="10"/>
      <c r="E97" s="34" t="str">
        <f t="shared" si="9"/>
        <v/>
      </c>
      <c r="F97" s="25" t="str">
        <f t="shared" si="10"/>
        <v/>
      </c>
      <c r="G97" s="25" t="str">
        <f t="shared" si="11"/>
        <v/>
      </c>
      <c r="H97" s="25" t="str">
        <f t="shared" si="12"/>
        <v/>
      </c>
      <c r="I97" s="25" t="str">
        <f t="shared" si="13"/>
        <v/>
      </c>
      <c r="J97" s="26" t="str">
        <f t="shared" si="14"/>
        <v/>
      </c>
      <c r="K97" s="26" t="str">
        <f>IF(C97="","",IF(LEN(C97)-LEN(SUBSTITUTE(C97,"/",""))+1=1,"TOP",IF(COUNTIF($C$4:INDEX($C:$C,ROW()-1),IFERROR(LEFT(C97,FIND("@",SUBSTITUTE(C97,"/","@",LEN(C97)-LEN(SUBSTITUTE(C97,"/",""))))-1),"ROOT"))&gt;0,"OK","CHECK")))</f>
        <v/>
      </c>
      <c r="L97" s="26" t="str">
        <f t="shared" si="15"/>
        <v/>
      </c>
      <c r="M97" s="26" t="str">
        <f t="shared" si="16"/>
        <v/>
      </c>
      <c r="N97" s="26" t="str">
        <f t="shared" si="17"/>
        <v/>
      </c>
    </row>
    <row r="98" spans="1:14" ht="22" customHeight="1" x14ac:dyDescent="0.25">
      <c r="A98" s="27"/>
      <c r="B98" s="10"/>
      <c r="C98" s="10"/>
      <c r="D98" s="10"/>
      <c r="E98" s="34" t="str">
        <f t="shared" si="9"/>
        <v/>
      </c>
      <c r="F98" s="25" t="str">
        <f t="shared" si="10"/>
        <v/>
      </c>
      <c r="G98" s="25" t="str">
        <f t="shared" si="11"/>
        <v/>
      </c>
      <c r="H98" s="25" t="str">
        <f t="shared" si="12"/>
        <v/>
      </c>
      <c r="I98" s="25" t="str">
        <f t="shared" si="13"/>
        <v/>
      </c>
      <c r="J98" s="26" t="str">
        <f t="shared" si="14"/>
        <v/>
      </c>
      <c r="K98" s="26" t="str">
        <f>IF(C98="","",IF(LEN(C98)-LEN(SUBSTITUTE(C98,"/",""))+1=1,"TOP",IF(COUNTIF($C$4:INDEX($C:$C,ROW()-1),IFERROR(LEFT(C98,FIND("@",SUBSTITUTE(C98,"/","@",LEN(C98)-LEN(SUBSTITUTE(C98,"/",""))))-1),"ROOT"))&gt;0,"OK","CHECK")))</f>
        <v/>
      </c>
      <c r="L98" s="26" t="str">
        <f t="shared" si="15"/>
        <v/>
      </c>
      <c r="M98" s="26" t="str">
        <f t="shared" si="16"/>
        <v/>
      </c>
      <c r="N98" s="26" t="str">
        <f t="shared" si="17"/>
        <v/>
      </c>
    </row>
    <row r="99" spans="1:14" ht="22" customHeight="1" x14ac:dyDescent="0.25">
      <c r="A99" s="27"/>
      <c r="B99" s="10"/>
      <c r="C99" s="10"/>
      <c r="D99" s="10"/>
      <c r="E99" s="34" t="str">
        <f t="shared" si="9"/>
        <v/>
      </c>
      <c r="F99" s="25" t="str">
        <f t="shared" si="10"/>
        <v/>
      </c>
      <c r="G99" s="25" t="str">
        <f t="shared" si="11"/>
        <v/>
      </c>
      <c r="H99" s="25" t="str">
        <f t="shared" si="12"/>
        <v/>
      </c>
      <c r="I99" s="25" t="str">
        <f t="shared" si="13"/>
        <v/>
      </c>
      <c r="J99" s="26" t="str">
        <f t="shared" si="14"/>
        <v/>
      </c>
      <c r="K99" s="26" t="str">
        <f>IF(C99="","",IF(LEN(C99)-LEN(SUBSTITUTE(C99,"/",""))+1=1,"TOP",IF(COUNTIF($C$4:INDEX($C:$C,ROW()-1),IFERROR(LEFT(C99,FIND("@",SUBSTITUTE(C99,"/","@",LEN(C99)-LEN(SUBSTITUTE(C99,"/",""))))-1),"ROOT"))&gt;0,"OK","CHECK")))</f>
        <v/>
      </c>
      <c r="L99" s="26" t="str">
        <f t="shared" si="15"/>
        <v/>
      </c>
      <c r="M99" s="26" t="str">
        <f t="shared" si="16"/>
        <v/>
      </c>
      <c r="N99" s="26" t="str">
        <f t="shared" si="17"/>
        <v/>
      </c>
    </row>
    <row r="100" spans="1:14" ht="22" customHeight="1" x14ac:dyDescent="0.25">
      <c r="A100" s="27"/>
      <c r="B100" s="10"/>
      <c r="C100" s="10"/>
      <c r="D100" s="10"/>
      <c r="E100" s="34" t="str">
        <f t="shared" si="9"/>
        <v/>
      </c>
      <c r="F100" s="25" t="str">
        <f t="shared" si="10"/>
        <v/>
      </c>
      <c r="G100" s="25" t="str">
        <f t="shared" si="11"/>
        <v/>
      </c>
      <c r="H100" s="25" t="str">
        <f t="shared" si="12"/>
        <v/>
      </c>
      <c r="I100" s="25" t="str">
        <f t="shared" si="13"/>
        <v/>
      </c>
      <c r="J100" s="26" t="str">
        <f t="shared" si="14"/>
        <v/>
      </c>
      <c r="K100" s="26" t="str">
        <f>IF(C100="","",IF(LEN(C100)-LEN(SUBSTITUTE(C100,"/",""))+1=1,"TOP",IF(COUNTIF($C$4:INDEX($C:$C,ROW()-1),IFERROR(LEFT(C100,FIND("@",SUBSTITUTE(C100,"/","@",LEN(C100)-LEN(SUBSTITUTE(C100,"/",""))))-1),"ROOT"))&gt;0,"OK","CHECK")))</f>
        <v/>
      </c>
      <c r="L100" s="26" t="str">
        <f t="shared" si="15"/>
        <v/>
      </c>
      <c r="M100" s="26" t="str">
        <f t="shared" si="16"/>
        <v/>
      </c>
      <c r="N100" s="26" t="str">
        <f t="shared" si="17"/>
        <v/>
      </c>
    </row>
    <row r="101" spans="1:14" ht="22" customHeight="1" x14ac:dyDescent="0.25">
      <c r="A101" s="27"/>
      <c r="B101" s="10"/>
      <c r="C101" s="10"/>
      <c r="D101" s="10"/>
      <c r="E101" s="34" t="str">
        <f t="shared" si="9"/>
        <v/>
      </c>
      <c r="F101" s="25" t="str">
        <f t="shared" si="10"/>
        <v/>
      </c>
      <c r="G101" s="25" t="str">
        <f t="shared" si="11"/>
        <v/>
      </c>
      <c r="H101" s="25" t="str">
        <f t="shared" si="12"/>
        <v/>
      </c>
      <c r="I101" s="25" t="str">
        <f t="shared" si="13"/>
        <v/>
      </c>
      <c r="J101" s="26" t="str">
        <f t="shared" si="14"/>
        <v/>
      </c>
      <c r="K101" s="26" t="str">
        <f>IF(C101="","",IF(LEN(C101)-LEN(SUBSTITUTE(C101,"/",""))+1=1,"TOP",IF(COUNTIF($C$4:INDEX($C:$C,ROW()-1),IFERROR(LEFT(C101,FIND("@",SUBSTITUTE(C101,"/","@",LEN(C101)-LEN(SUBSTITUTE(C101,"/",""))))-1),"ROOT"))&gt;0,"OK","CHECK")))</f>
        <v/>
      </c>
      <c r="L101" s="26" t="str">
        <f t="shared" si="15"/>
        <v/>
      </c>
      <c r="M101" s="26" t="str">
        <f t="shared" si="16"/>
        <v/>
      </c>
      <c r="N101" s="26" t="str">
        <f t="shared" si="17"/>
        <v/>
      </c>
    </row>
    <row r="102" spans="1:14" ht="22" customHeight="1" x14ac:dyDescent="0.25">
      <c r="A102" s="27"/>
      <c r="B102" s="10"/>
      <c r="C102" s="10"/>
      <c r="D102" s="10"/>
      <c r="E102" s="34" t="str">
        <f t="shared" si="9"/>
        <v/>
      </c>
      <c r="F102" s="25" t="str">
        <f t="shared" si="10"/>
        <v/>
      </c>
      <c r="G102" s="25" t="str">
        <f t="shared" si="11"/>
        <v/>
      </c>
      <c r="H102" s="25" t="str">
        <f t="shared" si="12"/>
        <v/>
      </c>
      <c r="I102" s="25" t="str">
        <f t="shared" si="13"/>
        <v/>
      </c>
      <c r="J102" s="26" t="str">
        <f t="shared" si="14"/>
        <v/>
      </c>
      <c r="K102" s="26" t="str">
        <f>IF(C102="","",IF(LEN(C102)-LEN(SUBSTITUTE(C102,"/",""))+1=1,"TOP",IF(COUNTIF($C$4:INDEX($C:$C,ROW()-1),IFERROR(LEFT(C102,FIND("@",SUBSTITUTE(C102,"/","@",LEN(C102)-LEN(SUBSTITUTE(C102,"/",""))))-1),"ROOT"))&gt;0,"OK","CHECK")))</f>
        <v/>
      </c>
      <c r="L102" s="26" t="str">
        <f t="shared" si="15"/>
        <v/>
      </c>
      <c r="M102" s="26" t="str">
        <f t="shared" si="16"/>
        <v/>
      </c>
      <c r="N102" s="26" t="str">
        <f t="shared" si="17"/>
        <v/>
      </c>
    </row>
    <row r="103" spans="1:14" ht="22" customHeight="1" x14ac:dyDescent="0.25">
      <c r="A103" s="27"/>
      <c r="B103" s="10"/>
      <c r="C103" s="10"/>
      <c r="D103" s="10"/>
      <c r="E103" s="34" t="str">
        <f t="shared" si="9"/>
        <v/>
      </c>
      <c r="F103" s="25" t="str">
        <f t="shared" si="10"/>
        <v/>
      </c>
      <c r="G103" s="25" t="str">
        <f t="shared" si="11"/>
        <v/>
      </c>
      <c r="H103" s="25" t="str">
        <f t="shared" si="12"/>
        <v/>
      </c>
      <c r="I103" s="25" t="str">
        <f t="shared" si="13"/>
        <v/>
      </c>
      <c r="J103" s="26" t="str">
        <f t="shared" si="14"/>
        <v/>
      </c>
      <c r="K103" s="26" t="str">
        <f>IF(C103="","",IF(LEN(C103)-LEN(SUBSTITUTE(C103,"/",""))+1=1,"TOP",IF(COUNTIF($C$4:INDEX($C:$C,ROW()-1),IFERROR(LEFT(C103,FIND("@",SUBSTITUTE(C103,"/","@",LEN(C103)-LEN(SUBSTITUTE(C103,"/",""))))-1),"ROOT"))&gt;0,"OK","CHECK")))</f>
        <v/>
      </c>
      <c r="L103" s="26" t="str">
        <f t="shared" si="15"/>
        <v/>
      </c>
      <c r="M103" s="26" t="str">
        <f t="shared" si="16"/>
        <v/>
      </c>
      <c r="N103" s="26" t="str">
        <f t="shared" si="17"/>
        <v/>
      </c>
    </row>
    <row r="104" spans="1:14" ht="22" customHeight="1" x14ac:dyDescent="0.25">
      <c r="A104" s="27"/>
      <c r="B104" s="10"/>
      <c r="C104" s="10"/>
      <c r="D104" s="10"/>
      <c r="E104" s="34" t="str">
        <f t="shared" si="9"/>
        <v/>
      </c>
      <c r="F104" s="25" t="str">
        <f t="shared" si="10"/>
        <v/>
      </c>
      <c r="G104" s="25" t="str">
        <f t="shared" si="11"/>
        <v/>
      </c>
      <c r="H104" s="25" t="str">
        <f t="shared" si="12"/>
        <v/>
      </c>
      <c r="I104" s="25" t="str">
        <f t="shared" si="13"/>
        <v/>
      </c>
      <c r="J104" s="26" t="str">
        <f t="shared" si="14"/>
        <v/>
      </c>
      <c r="K104" s="26" t="str">
        <f>IF(C104="","",IF(LEN(C104)-LEN(SUBSTITUTE(C104,"/",""))+1=1,"TOP",IF(COUNTIF($C$4:INDEX($C:$C,ROW()-1),IFERROR(LEFT(C104,FIND("@",SUBSTITUTE(C104,"/","@",LEN(C104)-LEN(SUBSTITUTE(C104,"/",""))))-1),"ROOT"))&gt;0,"OK","CHECK")))</f>
        <v/>
      </c>
      <c r="L104" s="26" t="str">
        <f t="shared" si="15"/>
        <v/>
      </c>
      <c r="M104" s="26" t="str">
        <f t="shared" si="16"/>
        <v/>
      </c>
      <c r="N104" s="26" t="str">
        <f t="shared" si="17"/>
        <v/>
      </c>
    </row>
    <row r="105" spans="1:14" ht="22" customHeight="1" x14ac:dyDescent="0.25">
      <c r="A105" s="27"/>
      <c r="B105" s="10"/>
      <c r="C105" s="10"/>
      <c r="D105" s="10"/>
      <c r="E105" s="34" t="str">
        <f t="shared" si="9"/>
        <v/>
      </c>
      <c r="F105" s="25" t="str">
        <f t="shared" si="10"/>
        <v/>
      </c>
      <c r="G105" s="25" t="str">
        <f t="shared" si="11"/>
        <v/>
      </c>
      <c r="H105" s="25" t="str">
        <f t="shared" si="12"/>
        <v/>
      </c>
      <c r="I105" s="25" t="str">
        <f t="shared" si="13"/>
        <v/>
      </c>
      <c r="J105" s="26" t="str">
        <f t="shared" si="14"/>
        <v/>
      </c>
      <c r="K105" s="26" t="str">
        <f>IF(C105="","",IF(LEN(C105)-LEN(SUBSTITUTE(C105,"/",""))+1=1,"TOP",IF(COUNTIF($C$4:INDEX($C:$C,ROW()-1),IFERROR(LEFT(C105,FIND("@",SUBSTITUTE(C105,"/","@",LEN(C105)-LEN(SUBSTITUTE(C105,"/",""))))-1),"ROOT"))&gt;0,"OK","CHECK")))</f>
        <v/>
      </c>
      <c r="L105" s="26" t="str">
        <f t="shared" si="15"/>
        <v/>
      </c>
      <c r="M105" s="26" t="str">
        <f t="shared" si="16"/>
        <v/>
      </c>
      <c r="N105" s="26" t="str">
        <f t="shared" si="17"/>
        <v/>
      </c>
    </row>
    <row r="106" spans="1:14" ht="22" customHeight="1" x14ac:dyDescent="0.25">
      <c r="A106" s="27"/>
      <c r="B106" s="10"/>
      <c r="C106" s="10"/>
      <c r="D106" s="10"/>
      <c r="E106" s="34" t="str">
        <f t="shared" si="9"/>
        <v/>
      </c>
      <c r="F106" s="25" t="str">
        <f t="shared" si="10"/>
        <v/>
      </c>
      <c r="G106" s="25" t="str">
        <f t="shared" si="11"/>
        <v/>
      </c>
      <c r="H106" s="25" t="str">
        <f t="shared" si="12"/>
        <v/>
      </c>
      <c r="I106" s="25" t="str">
        <f t="shared" si="13"/>
        <v/>
      </c>
      <c r="J106" s="26" t="str">
        <f t="shared" si="14"/>
        <v/>
      </c>
      <c r="K106" s="26" t="str">
        <f>IF(C106="","",IF(LEN(C106)-LEN(SUBSTITUTE(C106,"/",""))+1=1,"TOP",IF(COUNTIF($C$4:INDEX($C:$C,ROW()-1),IFERROR(LEFT(C106,FIND("@",SUBSTITUTE(C106,"/","@",LEN(C106)-LEN(SUBSTITUTE(C106,"/",""))))-1),"ROOT"))&gt;0,"OK","CHECK")))</f>
        <v/>
      </c>
      <c r="L106" s="26" t="str">
        <f t="shared" si="15"/>
        <v/>
      </c>
      <c r="M106" s="26" t="str">
        <f t="shared" si="16"/>
        <v/>
      </c>
      <c r="N106" s="26" t="str">
        <f t="shared" si="17"/>
        <v/>
      </c>
    </row>
    <row r="107" spans="1:14" ht="22" customHeight="1" x14ac:dyDescent="0.25">
      <c r="A107" s="27"/>
      <c r="B107" s="10"/>
      <c r="C107" s="10"/>
      <c r="D107" s="10"/>
      <c r="E107" s="34" t="str">
        <f t="shared" si="9"/>
        <v/>
      </c>
      <c r="F107" s="25" t="str">
        <f t="shared" si="10"/>
        <v/>
      </c>
      <c r="G107" s="25" t="str">
        <f t="shared" si="11"/>
        <v/>
      </c>
      <c r="H107" s="25" t="str">
        <f t="shared" si="12"/>
        <v/>
      </c>
      <c r="I107" s="25" t="str">
        <f t="shared" si="13"/>
        <v/>
      </c>
      <c r="J107" s="26" t="str">
        <f t="shared" si="14"/>
        <v/>
      </c>
      <c r="K107" s="26" t="str">
        <f>IF(C107="","",IF(LEN(C107)-LEN(SUBSTITUTE(C107,"/",""))+1=1,"TOP",IF(COUNTIF($C$4:INDEX($C:$C,ROW()-1),IFERROR(LEFT(C107,FIND("@",SUBSTITUTE(C107,"/","@",LEN(C107)-LEN(SUBSTITUTE(C107,"/",""))))-1),"ROOT"))&gt;0,"OK","CHECK")))</f>
        <v/>
      </c>
      <c r="L107" s="26" t="str">
        <f t="shared" si="15"/>
        <v/>
      </c>
      <c r="M107" s="26" t="str">
        <f t="shared" si="16"/>
        <v/>
      </c>
      <c r="N107" s="26" t="str">
        <f t="shared" si="17"/>
        <v/>
      </c>
    </row>
    <row r="108" spans="1:14" ht="22" customHeight="1" x14ac:dyDescent="0.25">
      <c r="A108" s="27"/>
      <c r="B108" s="10"/>
      <c r="C108" s="10"/>
      <c r="D108" s="10"/>
      <c r="E108" s="34" t="str">
        <f t="shared" si="9"/>
        <v/>
      </c>
      <c r="F108" s="25" t="str">
        <f t="shared" si="10"/>
        <v/>
      </c>
      <c r="G108" s="25" t="str">
        <f t="shared" si="11"/>
        <v/>
      </c>
      <c r="H108" s="25" t="str">
        <f t="shared" si="12"/>
        <v/>
      </c>
      <c r="I108" s="25" t="str">
        <f t="shared" si="13"/>
        <v/>
      </c>
      <c r="J108" s="26" t="str">
        <f t="shared" si="14"/>
        <v/>
      </c>
      <c r="K108" s="26" t="str">
        <f>IF(C108="","",IF(LEN(C108)-LEN(SUBSTITUTE(C108,"/",""))+1=1,"TOP",IF(COUNTIF($C$4:INDEX($C:$C,ROW()-1),IFERROR(LEFT(C108,FIND("@",SUBSTITUTE(C108,"/","@",LEN(C108)-LEN(SUBSTITUTE(C108,"/",""))))-1),"ROOT"))&gt;0,"OK","CHECK")))</f>
        <v/>
      </c>
      <c r="L108" s="26" t="str">
        <f t="shared" si="15"/>
        <v/>
      </c>
      <c r="M108" s="26" t="str">
        <f t="shared" si="16"/>
        <v/>
      </c>
      <c r="N108" s="26" t="str">
        <f t="shared" si="17"/>
        <v/>
      </c>
    </row>
    <row r="109" spans="1:14" ht="22" customHeight="1" x14ac:dyDescent="0.25">
      <c r="A109" s="27"/>
      <c r="B109" s="10"/>
      <c r="C109" s="10"/>
      <c r="D109" s="10"/>
      <c r="E109" s="34" t="str">
        <f t="shared" si="9"/>
        <v/>
      </c>
      <c r="F109" s="25" t="str">
        <f t="shared" si="10"/>
        <v/>
      </c>
      <c r="G109" s="25" t="str">
        <f t="shared" si="11"/>
        <v/>
      </c>
      <c r="H109" s="25" t="str">
        <f t="shared" si="12"/>
        <v/>
      </c>
      <c r="I109" s="25" t="str">
        <f t="shared" si="13"/>
        <v/>
      </c>
      <c r="J109" s="26" t="str">
        <f t="shared" si="14"/>
        <v/>
      </c>
      <c r="K109" s="26" t="str">
        <f>IF(C109="","",IF(LEN(C109)-LEN(SUBSTITUTE(C109,"/",""))+1=1,"TOP",IF(COUNTIF($C$4:INDEX($C:$C,ROW()-1),IFERROR(LEFT(C109,FIND("@",SUBSTITUTE(C109,"/","@",LEN(C109)-LEN(SUBSTITUTE(C109,"/",""))))-1),"ROOT"))&gt;0,"OK","CHECK")))</f>
        <v/>
      </c>
      <c r="L109" s="26" t="str">
        <f t="shared" si="15"/>
        <v/>
      </c>
      <c r="M109" s="26" t="str">
        <f t="shared" si="16"/>
        <v/>
      </c>
      <c r="N109" s="26" t="str">
        <f t="shared" si="17"/>
        <v/>
      </c>
    </row>
    <row r="110" spans="1:14" ht="22" customHeight="1" x14ac:dyDescent="0.25">
      <c r="A110" s="27"/>
      <c r="B110" s="10"/>
      <c r="C110" s="10"/>
      <c r="D110" s="10"/>
      <c r="E110" s="34" t="str">
        <f t="shared" si="9"/>
        <v/>
      </c>
      <c r="F110" s="25" t="str">
        <f t="shared" si="10"/>
        <v/>
      </c>
      <c r="G110" s="25" t="str">
        <f t="shared" si="11"/>
        <v/>
      </c>
      <c r="H110" s="25" t="str">
        <f t="shared" si="12"/>
        <v/>
      </c>
      <c r="I110" s="25" t="str">
        <f t="shared" si="13"/>
        <v/>
      </c>
      <c r="J110" s="26" t="str">
        <f t="shared" si="14"/>
        <v/>
      </c>
      <c r="K110" s="26" t="str">
        <f>IF(C110="","",IF(LEN(C110)-LEN(SUBSTITUTE(C110,"/",""))+1=1,"TOP",IF(COUNTIF($C$4:INDEX($C:$C,ROW()-1),IFERROR(LEFT(C110,FIND("@",SUBSTITUTE(C110,"/","@",LEN(C110)-LEN(SUBSTITUTE(C110,"/",""))))-1),"ROOT"))&gt;0,"OK","CHECK")))</f>
        <v/>
      </c>
      <c r="L110" s="26" t="str">
        <f t="shared" si="15"/>
        <v/>
      </c>
      <c r="M110" s="26" t="str">
        <f t="shared" si="16"/>
        <v/>
      </c>
      <c r="N110" s="26" t="str">
        <f t="shared" si="17"/>
        <v/>
      </c>
    </row>
    <row r="111" spans="1:14" ht="22" customHeight="1" x14ac:dyDescent="0.25">
      <c r="A111" s="27"/>
      <c r="B111" s="10"/>
      <c r="C111" s="10"/>
      <c r="D111" s="10"/>
      <c r="E111" s="34" t="str">
        <f t="shared" si="9"/>
        <v/>
      </c>
      <c r="F111" s="25" t="str">
        <f t="shared" si="10"/>
        <v/>
      </c>
      <c r="G111" s="25" t="str">
        <f t="shared" si="11"/>
        <v/>
      </c>
      <c r="H111" s="25" t="str">
        <f t="shared" si="12"/>
        <v/>
      </c>
      <c r="I111" s="25" t="str">
        <f t="shared" si="13"/>
        <v/>
      </c>
      <c r="J111" s="26" t="str">
        <f t="shared" si="14"/>
        <v/>
      </c>
      <c r="K111" s="26" t="str">
        <f>IF(C111="","",IF(LEN(C111)-LEN(SUBSTITUTE(C111,"/",""))+1=1,"TOP",IF(COUNTIF($C$4:INDEX($C:$C,ROW()-1),IFERROR(LEFT(C111,FIND("@",SUBSTITUTE(C111,"/","@",LEN(C111)-LEN(SUBSTITUTE(C111,"/",""))))-1),"ROOT"))&gt;0,"OK","CHECK")))</f>
        <v/>
      </c>
      <c r="L111" s="26" t="str">
        <f t="shared" si="15"/>
        <v/>
      </c>
      <c r="M111" s="26" t="str">
        <f t="shared" si="16"/>
        <v/>
      </c>
      <c r="N111" s="26" t="str">
        <f t="shared" si="17"/>
        <v/>
      </c>
    </row>
    <row r="112" spans="1:14" ht="22" customHeight="1" x14ac:dyDescent="0.25">
      <c r="A112" s="27"/>
      <c r="B112" s="10"/>
      <c r="C112" s="10"/>
      <c r="D112" s="10"/>
      <c r="E112" s="34" t="str">
        <f t="shared" si="9"/>
        <v/>
      </c>
      <c r="F112" s="25" t="str">
        <f t="shared" si="10"/>
        <v/>
      </c>
      <c r="G112" s="25" t="str">
        <f t="shared" si="11"/>
        <v/>
      </c>
      <c r="H112" s="25" t="str">
        <f t="shared" si="12"/>
        <v/>
      </c>
      <c r="I112" s="25" t="str">
        <f t="shared" si="13"/>
        <v/>
      </c>
      <c r="J112" s="26" t="str">
        <f t="shared" si="14"/>
        <v/>
      </c>
      <c r="K112" s="26" t="str">
        <f>IF(C112="","",IF(LEN(C112)-LEN(SUBSTITUTE(C112,"/",""))+1=1,"TOP",IF(COUNTIF($C$4:INDEX($C:$C,ROW()-1),IFERROR(LEFT(C112,FIND("@",SUBSTITUTE(C112,"/","@",LEN(C112)-LEN(SUBSTITUTE(C112,"/",""))))-1),"ROOT"))&gt;0,"OK","CHECK")))</f>
        <v/>
      </c>
      <c r="L112" s="26" t="str">
        <f t="shared" si="15"/>
        <v/>
      </c>
      <c r="M112" s="26" t="str">
        <f t="shared" si="16"/>
        <v/>
      </c>
      <c r="N112" s="26" t="str">
        <f t="shared" si="17"/>
        <v/>
      </c>
    </row>
    <row r="113" spans="1:14" ht="22" customHeight="1" x14ac:dyDescent="0.25">
      <c r="A113" s="27"/>
      <c r="B113" s="10"/>
      <c r="C113" s="10"/>
      <c r="D113" s="10"/>
      <c r="E113" s="34" t="str">
        <f t="shared" si="9"/>
        <v/>
      </c>
      <c r="F113" s="25" t="str">
        <f t="shared" si="10"/>
        <v/>
      </c>
      <c r="G113" s="25" t="str">
        <f t="shared" si="11"/>
        <v/>
      </c>
      <c r="H113" s="25" t="str">
        <f t="shared" si="12"/>
        <v/>
      </c>
      <c r="I113" s="25" t="str">
        <f t="shared" si="13"/>
        <v/>
      </c>
      <c r="J113" s="26" t="str">
        <f t="shared" si="14"/>
        <v/>
      </c>
      <c r="K113" s="26" t="str">
        <f>IF(C113="","",IF(LEN(C113)-LEN(SUBSTITUTE(C113,"/",""))+1=1,"TOP",IF(COUNTIF($C$4:INDEX($C:$C,ROW()-1),IFERROR(LEFT(C113,FIND("@",SUBSTITUTE(C113,"/","@",LEN(C113)-LEN(SUBSTITUTE(C113,"/",""))))-1),"ROOT"))&gt;0,"OK","CHECK")))</f>
        <v/>
      </c>
      <c r="L113" s="26" t="str">
        <f t="shared" si="15"/>
        <v/>
      </c>
      <c r="M113" s="26" t="str">
        <f t="shared" si="16"/>
        <v/>
      </c>
      <c r="N113" s="26" t="str">
        <f t="shared" si="17"/>
        <v/>
      </c>
    </row>
    <row r="114" spans="1:14" ht="22" customHeight="1" x14ac:dyDescent="0.25">
      <c r="A114" s="27"/>
      <c r="B114" s="10"/>
      <c r="C114" s="10"/>
      <c r="D114" s="10"/>
      <c r="E114" s="34" t="str">
        <f t="shared" si="9"/>
        <v/>
      </c>
      <c r="F114" s="25" t="str">
        <f t="shared" si="10"/>
        <v/>
      </c>
      <c r="G114" s="25" t="str">
        <f t="shared" si="11"/>
        <v/>
      </c>
      <c r="H114" s="25" t="str">
        <f t="shared" si="12"/>
        <v/>
      </c>
      <c r="I114" s="25" t="str">
        <f t="shared" si="13"/>
        <v/>
      </c>
      <c r="J114" s="26" t="str">
        <f t="shared" si="14"/>
        <v/>
      </c>
      <c r="K114" s="26" t="str">
        <f>IF(C114="","",IF(LEN(C114)-LEN(SUBSTITUTE(C114,"/",""))+1=1,"TOP",IF(COUNTIF($C$4:INDEX($C:$C,ROW()-1),IFERROR(LEFT(C114,FIND("@",SUBSTITUTE(C114,"/","@",LEN(C114)-LEN(SUBSTITUTE(C114,"/",""))))-1),"ROOT"))&gt;0,"OK","CHECK")))</f>
        <v/>
      </c>
      <c r="L114" s="26" t="str">
        <f t="shared" si="15"/>
        <v/>
      </c>
      <c r="M114" s="26" t="str">
        <f t="shared" si="16"/>
        <v/>
      </c>
      <c r="N114" s="26" t="str">
        <f t="shared" si="17"/>
        <v/>
      </c>
    </row>
    <row r="115" spans="1:14" ht="22" customHeight="1" x14ac:dyDescent="0.25">
      <c r="A115" s="27"/>
      <c r="B115" s="10"/>
      <c r="C115" s="10"/>
      <c r="D115" s="10"/>
      <c r="E115" s="34" t="str">
        <f t="shared" si="9"/>
        <v/>
      </c>
      <c r="F115" s="25" t="str">
        <f t="shared" si="10"/>
        <v/>
      </c>
      <c r="G115" s="25" t="str">
        <f t="shared" si="11"/>
        <v/>
      </c>
      <c r="H115" s="25" t="str">
        <f t="shared" si="12"/>
        <v/>
      </c>
      <c r="I115" s="25" t="str">
        <f t="shared" si="13"/>
        <v/>
      </c>
      <c r="J115" s="26" t="str">
        <f t="shared" si="14"/>
        <v/>
      </c>
      <c r="K115" s="26" t="str">
        <f>IF(C115="","",IF(LEN(C115)-LEN(SUBSTITUTE(C115,"/",""))+1=1,"TOP",IF(COUNTIF($C$4:INDEX($C:$C,ROW()-1),IFERROR(LEFT(C115,FIND("@",SUBSTITUTE(C115,"/","@",LEN(C115)-LEN(SUBSTITUTE(C115,"/",""))))-1),"ROOT"))&gt;0,"OK","CHECK")))</f>
        <v/>
      </c>
      <c r="L115" s="26" t="str">
        <f t="shared" si="15"/>
        <v/>
      </c>
      <c r="M115" s="26" t="str">
        <f t="shared" si="16"/>
        <v/>
      </c>
      <c r="N115" s="26" t="str">
        <f t="shared" si="17"/>
        <v/>
      </c>
    </row>
    <row r="116" spans="1:14" ht="22" customHeight="1" x14ac:dyDescent="0.25">
      <c r="A116" s="27"/>
      <c r="B116" s="10"/>
      <c r="C116" s="10"/>
      <c r="D116" s="10"/>
      <c r="E116" s="34" t="str">
        <f t="shared" si="9"/>
        <v/>
      </c>
      <c r="F116" s="25" t="str">
        <f t="shared" si="10"/>
        <v/>
      </c>
      <c r="G116" s="25" t="str">
        <f t="shared" si="11"/>
        <v/>
      </c>
      <c r="H116" s="25" t="str">
        <f t="shared" si="12"/>
        <v/>
      </c>
      <c r="I116" s="25" t="str">
        <f t="shared" si="13"/>
        <v/>
      </c>
      <c r="J116" s="26" t="str">
        <f t="shared" si="14"/>
        <v/>
      </c>
      <c r="K116" s="26" t="str">
        <f>IF(C116="","",IF(LEN(C116)-LEN(SUBSTITUTE(C116,"/",""))+1=1,"TOP",IF(COUNTIF($C$4:INDEX($C:$C,ROW()-1),IFERROR(LEFT(C116,FIND("@",SUBSTITUTE(C116,"/","@",LEN(C116)-LEN(SUBSTITUTE(C116,"/",""))))-1),"ROOT"))&gt;0,"OK","CHECK")))</f>
        <v/>
      </c>
      <c r="L116" s="26" t="str">
        <f t="shared" si="15"/>
        <v/>
      </c>
      <c r="M116" s="26" t="str">
        <f t="shared" si="16"/>
        <v/>
      </c>
      <c r="N116" s="26" t="str">
        <f t="shared" si="17"/>
        <v/>
      </c>
    </row>
    <row r="117" spans="1:14" ht="22" customHeight="1" x14ac:dyDescent="0.25">
      <c r="A117" s="27"/>
      <c r="B117" s="10"/>
      <c r="C117" s="10"/>
      <c r="D117" s="10"/>
      <c r="E117" s="34" t="str">
        <f t="shared" si="9"/>
        <v/>
      </c>
      <c r="F117" s="25" t="str">
        <f t="shared" si="10"/>
        <v/>
      </c>
      <c r="G117" s="25" t="str">
        <f t="shared" si="11"/>
        <v/>
      </c>
      <c r="H117" s="25" t="str">
        <f t="shared" si="12"/>
        <v/>
      </c>
      <c r="I117" s="25" t="str">
        <f t="shared" si="13"/>
        <v/>
      </c>
      <c r="J117" s="26" t="str">
        <f t="shared" si="14"/>
        <v/>
      </c>
      <c r="K117" s="26" t="str">
        <f>IF(C117="","",IF(LEN(C117)-LEN(SUBSTITUTE(C117,"/",""))+1=1,"TOP",IF(COUNTIF($C$4:INDEX($C:$C,ROW()-1),IFERROR(LEFT(C117,FIND("@",SUBSTITUTE(C117,"/","@",LEN(C117)-LEN(SUBSTITUTE(C117,"/",""))))-1),"ROOT"))&gt;0,"OK","CHECK")))</f>
        <v/>
      </c>
      <c r="L117" s="26" t="str">
        <f t="shared" si="15"/>
        <v/>
      </c>
      <c r="M117" s="26" t="str">
        <f t="shared" si="16"/>
        <v/>
      </c>
      <c r="N117" s="26" t="str">
        <f t="shared" si="17"/>
        <v/>
      </c>
    </row>
    <row r="118" spans="1:14" ht="22" customHeight="1" x14ac:dyDescent="0.25">
      <c r="A118" s="27"/>
      <c r="B118" s="10"/>
      <c r="C118" s="10"/>
      <c r="D118" s="10"/>
      <c r="E118" s="34" t="str">
        <f t="shared" si="9"/>
        <v/>
      </c>
      <c r="F118" s="25" t="str">
        <f t="shared" si="10"/>
        <v/>
      </c>
      <c r="G118" s="25" t="str">
        <f t="shared" si="11"/>
        <v/>
      </c>
      <c r="H118" s="25" t="str">
        <f t="shared" si="12"/>
        <v/>
      </c>
      <c r="I118" s="25" t="str">
        <f t="shared" si="13"/>
        <v/>
      </c>
      <c r="J118" s="26" t="str">
        <f t="shared" si="14"/>
        <v/>
      </c>
      <c r="K118" s="26" t="str">
        <f>IF(C118="","",IF(LEN(C118)-LEN(SUBSTITUTE(C118,"/",""))+1=1,"TOP",IF(COUNTIF($C$4:INDEX($C:$C,ROW()-1),IFERROR(LEFT(C118,FIND("@",SUBSTITUTE(C118,"/","@",LEN(C118)-LEN(SUBSTITUTE(C118,"/",""))))-1),"ROOT"))&gt;0,"OK","CHECK")))</f>
        <v/>
      </c>
      <c r="L118" s="26" t="str">
        <f t="shared" si="15"/>
        <v/>
      </c>
      <c r="M118" s="26" t="str">
        <f t="shared" si="16"/>
        <v/>
      </c>
      <c r="N118" s="26" t="str">
        <f t="shared" si="17"/>
        <v/>
      </c>
    </row>
    <row r="119" spans="1:14" ht="22" customHeight="1" x14ac:dyDescent="0.25">
      <c r="A119" s="27"/>
      <c r="B119" s="10"/>
      <c r="C119" s="10"/>
      <c r="D119" s="10"/>
      <c r="E119" s="34" t="str">
        <f t="shared" si="9"/>
        <v/>
      </c>
      <c r="F119" s="25" t="str">
        <f t="shared" si="10"/>
        <v/>
      </c>
      <c r="G119" s="25" t="str">
        <f t="shared" si="11"/>
        <v/>
      </c>
      <c r="H119" s="25" t="str">
        <f t="shared" si="12"/>
        <v/>
      </c>
      <c r="I119" s="25" t="str">
        <f t="shared" si="13"/>
        <v/>
      </c>
      <c r="J119" s="26" t="str">
        <f t="shared" si="14"/>
        <v/>
      </c>
      <c r="K119" s="26" t="str">
        <f>IF(C119="","",IF(LEN(C119)-LEN(SUBSTITUTE(C119,"/",""))+1=1,"TOP",IF(COUNTIF($C$4:INDEX($C:$C,ROW()-1),IFERROR(LEFT(C119,FIND("@",SUBSTITUTE(C119,"/","@",LEN(C119)-LEN(SUBSTITUTE(C119,"/",""))))-1),"ROOT"))&gt;0,"OK","CHECK")))</f>
        <v/>
      </c>
      <c r="L119" s="26" t="str">
        <f t="shared" si="15"/>
        <v/>
      </c>
      <c r="M119" s="26" t="str">
        <f t="shared" si="16"/>
        <v/>
      </c>
      <c r="N119" s="26" t="str">
        <f t="shared" si="17"/>
        <v/>
      </c>
    </row>
    <row r="120" spans="1:14" ht="22" customHeight="1" x14ac:dyDescent="0.25">
      <c r="A120" s="27"/>
      <c r="B120" s="10"/>
      <c r="C120" s="10"/>
      <c r="D120" s="10"/>
      <c r="E120" s="34" t="str">
        <f t="shared" si="9"/>
        <v/>
      </c>
      <c r="F120" s="25" t="str">
        <f t="shared" si="10"/>
        <v/>
      </c>
      <c r="G120" s="25" t="str">
        <f t="shared" si="11"/>
        <v/>
      </c>
      <c r="H120" s="25" t="str">
        <f t="shared" si="12"/>
        <v/>
      </c>
      <c r="I120" s="25" t="str">
        <f t="shared" si="13"/>
        <v/>
      </c>
      <c r="J120" s="26" t="str">
        <f t="shared" si="14"/>
        <v/>
      </c>
      <c r="K120" s="26" t="str">
        <f>IF(C120="","",IF(LEN(C120)-LEN(SUBSTITUTE(C120,"/",""))+1=1,"TOP",IF(COUNTIF($C$4:INDEX($C:$C,ROW()-1),IFERROR(LEFT(C120,FIND("@",SUBSTITUTE(C120,"/","@",LEN(C120)-LEN(SUBSTITUTE(C120,"/",""))))-1),"ROOT"))&gt;0,"OK","CHECK")))</f>
        <v/>
      </c>
      <c r="L120" s="26" t="str">
        <f t="shared" si="15"/>
        <v/>
      </c>
      <c r="M120" s="26" t="str">
        <f t="shared" si="16"/>
        <v/>
      </c>
      <c r="N120" s="26" t="str">
        <f t="shared" si="17"/>
        <v/>
      </c>
    </row>
    <row r="121" spans="1:14" ht="22" customHeight="1" x14ac:dyDescent="0.25">
      <c r="A121" s="27"/>
      <c r="B121" s="10"/>
      <c r="C121" s="10"/>
      <c r="D121" s="10"/>
      <c r="E121" s="34" t="str">
        <f t="shared" si="9"/>
        <v/>
      </c>
      <c r="F121" s="25" t="str">
        <f t="shared" si="10"/>
        <v/>
      </c>
      <c r="G121" s="25" t="str">
        <f t="shared" si="11"/>
        <v/>
      </c>
      <c r="H121" s="25" t="str">
        <f t="shared" si="12"/>
        <v/>
      </c>
      <c r="I121" s="25" t="str">
        <f t="shared" si="13"/>
        <v/>
      </c>
      <c r="J121" s="26" t="str">
        <f t="shared" si="14"/>
        <v/>
      </c>
      <c r="K121" s="26" t="str">
        <f>IF(C121="","",IF(LEN(C121)-LEN(SUBSTITUTE(C121,"/",""))+1=1,"TOP",IF(COUNTIF($C$4:INDEX($C:$C,ROW()-1),IFERROR(LEFT(C121,FIND("@",SUBSTITUTE(C121,"/","@",LEN(C121)-LEN(SUBSTITUTE(C121,"/",""))))-1),"ROOT"))&gt;0,"OK","CHECK")))</f>
        <v/>
      </c>
      <c r="L121" s="26" t="str">
        <f t="shared" si="15"/>
        <v/>
      </c>
      <c r="M121" s="26" t="str">
        <f t="shared" si="16"/>
        <v/>
      </c>
      <c r="N121" s="26" t="str">
        <f t="shared" si="17"/>
        <v/>
      </c>
    </row>
    <row r="122" spans="1:14" ht="22" customHeight="1" x14ac:dyDescent="0.25">
      <c r="A122" s="27"/>
      <c r="B122" s="10"/>
      <c r="C122" s="10"/>
      <c r="D122" s="10"/>
      <c r="E122" s="34" t="str">
        <f t="shared" si="9"/>
        <v/>
      </c>
      <c r="F122" s="25" t="str">
        <f t="shared" si="10"/>
        <v/>
      </c>
      <c r="G122" s="25" t="str">
        <f t="shared" si="11"/>
        <v/>
      </c>
      <c r="H122" s="25" t="str">
        <f t="shared" si="12"/>
        <v/>
      </c>
      <c r="I122" s="25" t="str">
        <f t="shared" si="13"/>
        <v/>
      </c>
      <c r="J122" s="26" t="str">
        <f t="shared" si="14"/>
        <v/>
      </c>
      <c r="K122" s="26" t="str">
        <f>IF(C122="","",IF(LEN(C122)-LEN(SUBSTITUTE(C122,"/",""))+1=1,"TOP",IF(COUNTIF($C$4:INDEX($C:$C,ROW()-1),IFERROR(LEFT(C122,FIND("@",SUBSTITUTE(C122,"/","@",LEN(C122)-LEN(SUBSTITUTE(C122,"/",""))))-1),"ROOT"))&gt;0,"OK","CHECK")))</f>
        <v/>
      </c>
      <c r="L122" s="26" t="str">
        <f t="shared" si="15"/>
        <v/>
      </c>
      <c r="M122" s="26" t="str">
        <f t="shared" si="16"/>
        <v/>
      </c>
      <c r="N122" s="26" t="str">
        <f t="shared" si="17"/>
        <v/>
      </c>
    </row>
    <row r="123" spans="1:14" ht="22" customHeight="1" x14ac:dyDescent="0.25">
      <c r="A123" s="27"/>
      <c r="B123" s="10"/>
      <c r="C123" s="10"/>
      <c r="D123" s="10"/>
      <c r="E123" s="34" t="str">
        <f t="shared" si="9"/>
        <v/>
      </c>
      <c r="F123" s="25" t="str">
        <f t="shared" si="10"/>
        <v/>
      </c>
      <c r="G123" s="25" t="str">
        <f t="shared" si="11"/>
        <v/>
      </c>
      <c r="H123" s="25" t="str">
        <f t="shared" si="12"/>
        <v/>
      </c>
      <c r="I123" s="25" t="str">
        <f t="shared" si="13"/>
        <v/>
      </c>
      <c r="J123" s="26" t="str">
        <f t="shared" si="14"/>
        <v/>
      </c>
      <c r="K123" s="26" t="str">
        <f>IF(C123="","",IF(LEN(C123)-LEN(SUBSTITUTE(C123,"/",""))+1=1,"TOP",IF(COUNTIF($C$4:INDEX($C:$C,ROW()-1),IFERROR(LEFT(C123,FIND("@",SUBSTITUTE(C123,"/","@",LEN(C123)-LEN(SUBSTITUTE(C123,"/",""))))-1),"ROOT"))&gt;0,"OK","CHECK")))</f>
        <v/>
      </c>
      <c r="L123" s="26" t="str">
        <f t="shared" si="15"/>
        <v/>
      </c>
      <c r="M123" s="26" t="str">
        <f t="shared" si="16"/>
        <v/>
      </c>
      <c r="N123" s="26" t="str">
        <f t="shared" si="17"/>
        <v/>
      </c>
    </row>
    <row r="124" spans="1:14" ht="22" customHeight="1" x14ac:dyDescent="0.25">
      <c r="A124" s="27"/>
      <c r="B124" s="10"/>
      <c r="C124" s="10"/>
      <c r="D124" s="10"/>
      <c r="E124" s="34" t="str">
        <f t="shared" si="9"/>
        <v/>
      </c>
      <c r="F124" s="25" t="str">
        <f t="shared" si="10"/>
        <v/>
      </c>
      <c r="G124" s="25" t="str">
        <f t="shared" si="11"/>
        <v/>
      </c>
      <c r="H124" s="25" t="str">
        <f t="shared" si="12"/>
        <v/>
      </c>
      <c r="I124" s="25" t="str">
        <f t="shared" si="13"/>
        <v/>
      </c>
      <c r="J124" s="26" t="str">
        <f t="shared" si="14"/>
        <v/>
      </c>
      <c r="K124" s="26" t="str">
        <f>IF(C124="","",IF(LEN(C124)-LEN(SUBSTITUTE(C124,"/",""))+1=1,"TOP",IF(COUNTIF($C$4:INDEX($C:$C,ROW()-1),IFERROR(LEFT(C124,FIND("@",SUBSTITUTE(C124,"/","@",LEN(C124)-LEN(SUBSTITUTE(C124,"/",""))))-1),"ROOT"))&gt;0,"OK","CHECK")))</f>
        <v/>
      </c>
      <c r="L124" s="26" t="str">
        <f t="shared" si="15"/>
        <v/>
      </c>
      <c r="M124" s="26" t="str">
        <f t="shared" si="16"/>
        <v/>
      </c>
      <c r="N124" s="26" t="str">
        <f t="shared" si="17"/>
        <v/>
      </c>
    </row>
    <row r="125" spans="1:14" ht="22" customHeight="1" x14ac:dyDescent="0.25">
      <c r="A125" s="27"/>
      <c r="B125" s="10"/>
      <c r="C125" s="10"/>
      <c r="D125" s="10"/>
      <c r="E125" s="34" t="str">
        <f t="shared" si="9"/>
        <v/>
      </c>
      <c r="F125" s="25" t="str">
        <f t="shared" si="10"/>
        <v/>
      </c>
      <c r="G125" s="25" t="str">
        <f t="shared" si="11"/>
        <v/>
      </c>
      <c r="H125" s="25" t="str">
        <f t="shared" si="12"/>
        <v/>
      </c>
      <c r="I125" s="25" t="str">
        <f t="shared" si="13"/>
        <v/>
      </c>
      <c r="J125" s="26" t="str">
        <f t="shared" si="14"/>
        <v/>
      </c>
      <c r="K125" s="26" t="str">
        <f>IF(C125="","",IF(LEN(C125)-LEN(SUBSTITUTE(C125,"/",""))+1=1,"TOP",IF(COUNTIF($C$4:INDEX($C:$C,ROW()-1),IFERROR(LEFT(C125,FIND("@",SUBSTITUTE(C125,"/","@",LEN(C125)-LEN(SUBSTITUTE(C125,"/",""))))-1),"ROOT"))&gt;0,"OK","CHECK")))</f>
        <v/>
      </c>
      <c r="L125" s="26" t="str">
        <f t="shared" si="15"/>
        <v/>
      </c>
      <c r="M125" s="26" t="str">
        <f t="shared" si="16"/>
        <v/>
      </c>
      <c r="N125" s="26" t="str">
        <f t="shared" si="17"/>
        <v/>
      </c>
    </row>
    <row r="126" spans="1:14" ht="22" customHeight="1" x14ac:dyDescent="0.25">
      <c r="A126" s="27"/>
      <c r="B126" s="10"/>
      <c r="C126" s="10"/>
      <c r="D126" s="10"/>
      <c r="E126" s="34" t="str">
        <f t="shared" si="9"/>
        <v/>
      </c>
      <c r="F126" s="25" t="str">
        <f t="shared" si="10"/>
        <v/>
      </c>
      <c r="G126" s="25" t="str">
        <f t="shared" si="11"/>
        <v/>
      </c>
      <c r="H126" s="25" t="str">
        <f t="shared" si="12"/>
        <v/>
      </c>
      <c r="I126" s="25" t="str">
        <f t="shared" si="13"/>
        <v/>
      </c>
      <c r="J126" s="26" t="str">
        <f t="shared" si="14"/>
        <v/>
      </c>
      <c r="K126" s="26" t="str">
        <f>IF(C126="","",IF(LEN(C126)-LEN(SUBSTITUTE(C126,"/",""))+1=1,"TOP",IF(COUNTIF($C$4:INDEX($C:$C,ROW()-1),IFERROR(LEFT(C126,FIND("@",SUBSTITUTE(C126,"/","@",LEN(C126)-LEN(SUBSTITUTE(C126,"/",""))))-1),"ROOT"))&gt;0,"OK","CHECK")))</f>
        <v/>
      </c>
      <c r="L126" s="26" t="str">
        <f t="shared" si="15"/>
        <v/>
      </c>
      <c r="M126" s="26" t="str">
        <f t="shared" si="16"/>
        <v/>
      </c>
      <c r="N126" s="26" t="str">
        <f t="shared" si="17"/>
        <v/>
      </c>
    </row>
    <row r="127" spans="1:14" ht="22" customHeight="1" x14ac:dyDescent="0.25">
      <c r="A127" s="27"/>
      <c r="B127" s="10"/>
      <c r="C127" s="10"/>
      <c r="D127" s="10"/>
      <c r="E127" s="34" t="str">
        <f t="shared" si="9"/>
        <v/>
      </c>
      <c r="F127" s="25" t="str">
        <f t="shared" si="10"/>
        <v/>
      </c>
      <c r="G127" s="25" t="str">
        <f t="shared" si="11"/>
        <v/>
      </c>
      <c r="H127" s="25" t="str">
        <f t="shared" si="12"/>
        <v/>
      </c>
      <c r="I127" s="25" t="str">
        <f t="shared" si="13"/>
        <v/>
      </c>
      <c r="J127" s="26" t="str">
        <f t="shared" si="14"/>
        <v/>
      </c>
      <c r="K127" s="26" t="str">
        <f>IF(C127="","",IF(LEN(C127)-LEN(SUBSTITUTE(C127,"/",""))+1=1,"TOP",IF(COUNTIF($C$4:INDEX($C:$C,ROW()-1),IFERROR(LEFT(C127,FIND("@",SUBSTITUTE(C127,"/","@",LEN(C127)-LEN(SUBSTITUTE(C127,"/",""))))-1),"ROOT"))&gt;0,"OK","CHECK")))</f>
        <v/>
      </c>
      <c r="L127" s="26" t="str">
        <f t="shared" si="15"/>
        <v/>
      </c>
      <c r="M127" s="26" t="str">
        <f t="shared" si="16"/>
        <v/>
      </c>
      <c r="N127" s="26" t="str">
        <f t="shared" si="17"/>
        <v/>
      </c>
    </row>
    <row r="128" spans="1:14" ht="22" customHeight="1" x14ac:dyDescent="0.25">
      <c r="A128" s="27"/>
      <c r="B128" s="10"/>
      <c r="C128" s="10"/>
      <c r="D128" s="10"/>
      <c r="E128" s="34" t="str">
        <f t="shared" si="9"/>
        <v/>
      </c>
      <c r="F128" s="25" t="str">
        <f t="shared" si="10"/>
        <v/>
      </c>
      <c r="G128" s="25" t="str">
        <f t="shared" si="11"/>
        <v/>
      </c>
      <c r="H128" s="25" t="str">
        <f t="shared" si="12"/>
        <v/>
      </c>
      <c r="I128" s="25" t="str">
        <f t="shared" si="13"/>
        <v/>
      </c>
      <c r="J128" s="26" t="str">
        <f t="shared" si="14"/>
        <v/>
      </c>
      <c r="K128" s="26" t="str">
        <f>IF(C128="","",IF(LEN(C128)-LEN(SUBSTITUTE(C128,"/",""))+1=1,"TOP",IF(COUNTIF($C$4:INDEX($C:$C,ROW()-1),IFERROR(LEFT(C128,FIND("@",SUBSTITUTE(C128,"/","@",LEN(C128)-LEN(SUBSTITUTE(C128,"/",""))))-1),"ROOT"))&gt;0,"OK","CHECK")))</f>
        <v/>
      </c>
      <c r="L128" s="26" t="str">
        <f t="shared" si="15"/>
        <v/>
      </c>
      <c r="M128" s="26" t="str">
        <f t="shared" si="16"/>
        <v/>
      </c>
      <c r="N128" s="26" t="str">
        <f t="shared" si="17"/>
        <v/>
      </c>
    </row>
    <row r="129" spans="1:14" ht="22" customHeight="1" x14ac:dyDescent="0.25">
      <c r="A129" s="27"/>
      <c r="B129" s="10"/>
      <c r="C129" s="10"/>
      <c r="D129" s="10"/>
      <c r="E129" s="34" t="str">
        <f t="shared" si="9"/>
        <v/>
      </c>
      <c r="F129" s="25" t="str">
        <f t="shared" si="10"/>
        <v/>
      </c>
      <c r="G129" s="25" t="str">
        <f t="shared" si="11"/>
        <v/>
      </c>
      <c r="H129" s="25" t="str">
        <f t="shared" si="12"/>
        <v/>
      </c>
      <c r="I129" s="25" t="str">
        <f t="shared" si="13"/>
        <v/>
      </c>
      <c r="J129" s="26" t="str">
        <f t="shared" si="14"/>
        <v/>
      </c>
      <c r="K129" s="26" t="str">
        <f>IF(C129="","",IF(LEN(C129)-LEN(SUBSTITUTE(C129,"/",""))+1=1,"TOP",IF(COUNTIF($C$4:INDEX($C:$C,ROW()-1),IFERROR(LEFT(C129,FIND("@",SUBSTITUTE(C129,"/","@",LEN(C129)-LEN(SUBSTITUTE(C129,"/",""))))-1),"ROOT"))&gt;0,"OK","CHECK")))</f>
        <v/>
      </c>
      <c r="L129" s="26" t="str">
        <f t="shared" si="15"/>
        <v/>
      </c>
      <c r="M129" s="26" t="str">
        <f t="shared" si="16"/>
        <v/>
      </c>
      <c r="N129" s="26" t="str">
        <f t="shared" si="17"/>
        <v/>
      </c>
    </row>
    <row r="130" spans="1:14" ht="22" customHeight="1" x14ac:dyDescent="0.25">
      <c r="A130" s="27"/>
      <c r="B130" s="10"/>
      <c r="C130" s="10"/>
      <c r="D130" s="10"/>
      <c r="E130" s="34" t="str">
        <f t="shared" si="9"/>
        <v/>
      </c>
      <c r="F130" s="25" t="str">
        <f t="shared" si="10"/>
        <v/>
      </c>
      <c r="G130" s="25" t="str">
        <f t="shared" si="11"/>
        <v/>
      </c>
      <c r="H130" s="25" t="str">
        <f t="shared" si="12"/>
        <v/>
      </c>
      <c r="I130" s="25" t="str">
        <f t="shared" si="13"/>
        <v/>
      </c>
      <c r="J130" s="26" t="str">
        <f t="shared" si="14"/>
        <v/>
      </c>
      <c r="K130" s="26" t="str">
        <f>IF(C130="","",IF(LEN(C130)-LEN(SUBSTITUTE(C130,"/",""))+1=1,"TOP",IF(COUNTIF($C$4:INDEX($C:$C,ROW()-1),IFERROR(LEFT(C130,FIND("@",SUBSTITUTE(C130,"/","@",LEN(C130)-LEN(SUBSTITUTE(C130,"/",""))))-1),"ROOT"))&gt;0,"OK","CHECK")))</f>
        <v/>
      </c>
      <c r="L130" s="26" t="str">
        <f t="shared" si="15"/>
        <v/>
      </c>
      <c r="M130" s="26" t="str">
        <f t="shared" si="16"/>
        <v/>
      </c>
      <c r="N130" s="26" t="str">
        <f t="shared" si="17"/>
        <v/>
      </c>
    </row>
    <row r="131" spans="1:14" ht="22" customHeight="1" x14ac:dyDescent="0.25">
      <c r="A131" s="27"/>
      <c r="B131" s="10"/>
      <c r="C131" s="10"/>
      <c r="D131" s="10"/>
      <c r="E131" s="34" t="str">
        <f t="shared" si="9"/>
        <v/>
      </c>
      <c r="F131" s="25" t="str">
        <f t="shared" si="10"/>
        <v/>
      </c>
      <c r="G131" s="25" t="str">
        <f t="shared" si="11"/>
        <v/>
      </c>
      <c r="H131" s="25" t="str">
        <f t="shared" si="12"/>
        <v/>
      </c>
      <c r="I131" s="25" t="str">
        <f t="shared" si="13"/>
        <v/>
      </c>
      <c r="J131" s="26" t="str">
        <f t="shared" si="14"/>
        <v/>
      </c>
      <c r="K131" s="26" t="str">
        <f>IF(C131="","",IF(LEN(C131)-LEN(SUBSTITUTE(C131,"/",""))+1=1,"TOP",IF(COUNTIF($C$4:INDEX($C:$C,ROW()-1),IFERROR(LEFT(C131,FIND("@",SUBSTITUTE(C131,"/","@",LEN(C131)-LEN(SUBSTITUTE(C131,"/",""))))-1),"ROOT"))&gt;0,"OK","CHECK")))</f>
        <v/>
      </c>
      <c r="L131" s="26" t="str">
        <f t="shared" si="15"/>
        <v/>
      </c>
      <c r="M131" s="26" t="str">
        <f t="shared" si="16"/>
        <v/>
      </c>
      <c r="N131" s="26" t="str">
        <f t="shared" si="17"/>
        <v/>
      </c>
    </row>
    <row r="132" spans="1:14" ht="22" customHeight="1" x14ac:dyDescent="0.25">
      <c r="A132" s="27"/>
      <c r="B132" s="10"/>
      <c r="C132" s="10"/>
      <c r="D132" s="10"/>
      <c r="E132" s="34" t="str">
        <f t="shared" ref="E132:E195" si="18">IF(D132="","",REPT("    ",MAX(F132-1,0))&amp;"|- "&amp;D132)</f>
        <v/>
      </c>
      <c r="F132" s="25" t="str">
        <f t="shared" ref="F132:F195" si="19">IF(C132="","",LEN(C132)-LEN(SUBSTITUTE(C132,"/",""))+1)</f>
        <v/>
      </c>
      <c r="G132" s="25" t="str">
        <f t="shared" ref="G132:G195" si="20">IF(C132="","",IFERROR(RIGHT(C132,LEN(C132)-FIND("@",SUBSTITUTE(C132,"/","@",LEN(C132)-LEN(SUBSTITUTE(C132,"/",""))))),C132))</f>
        <v/>
      </c>
      <c r="H132" s="25" t="str">
        <f t="shared" ref="H132:H195" si="21">IF(C132="","",IFERROR(LEFT(C132,FIND("@",SUBSTITUTE(C132,"/","@",LEN(C132)-LEN(SUBSTITUTE(C132,"/",""))))-1),"ROOT"))</f>
        <v/>
      </c>
      <c r="I132" s="25" t="str">
        <f t="shared" ref="I132:I195" si="22">IF(H132="","",IF(H132="ROOT","ROOT",IFERROR(RIGHT(H132,LEN(H132)-FIND("@",SUBSTITUTE(H132,"/","@",LEN(H132)-LEN(SUBSTITUTE(H132,"/",""))))),H132)))</f>
        <v/>
      </c>
      <c r="J132" s="26" t="str">
        <f t="shared" ref="J132:J195" si="23">IF(OR(B132="",C132=""),"",IF(AND(B132=IFERROR(RIGHT(C132,LEN(C132)-FIND("@",SUBSTITUTE(C132,"/","@",LEN(C132)-LEN(SUBSTITUTE(C132,"/",""))))),C132),ISERROR(SEARCH("/",B132)),LEFT(C132,1)&lt;&gt;"/",RIGHT(C132,1)&lt;&gt;"/",ISERROR(SEARCH(".",C132)),ISERROR(SEARCH("//",C132))),"OK","CHECK"))</f>
        <v/>
      </c>
      <c r="K132" s="26" t="str">
        <f>IF(C132="","",IF(LEN(C132)-LEN(SUBSTITUTE(C132,"/",""))+1=1,"TOP",IF(COUNTIF($C$4:INDEX($C:$C,ROW()-1),IFERROR(LEFT(C132,FIND("@",SUBSTITUTE(C132,"/","@",LEN(C132)-LEN(SUBSTITUTE(C132,"/",""))))-1),"ROOT"))&gt;0,"OK","CHECK")))</f>
        <v/>
      </c>
      <c r="L132" s="26" t="str">
        <f t="shared" ref="L132:L195" si="24">IF(C132="","",IF(COUNTIFS($A:$A,$A132,$C:$C,C132)=1,"OK","DUP"))</f>
        <v/>
      </c>
      <c r="M132" s="26" t="str">
        <f t="shared" ref="M132:M195" si="25">IF(B132="","",IF(COUNTIFS($A:$A,$A132,$B:$B,B132)=1,"OK","DUP"))</f>
        <v/>
      </c>
      <c r="N132" s="26" t="str">
        <f t="shared" ref="N132:N195" si="26">IF(OR(B132="",C132="",D132=""),"",IF(AND(J132="OK",OR(K132="OK",K132="TOP"),L132="OK",M132="OK"),"OK","CHECK"))</f>
        <v/>
      </c>
    </row>
    <row r="133" spans="1:14" ht="22" customHeight="1" x14ac:dyDescent="0.25">
      <c r="A133" s="27"/>
      <c r="B133" s="10"/>
      <c r="C133" s="10"/>
      <c r="D133" s="10"/>
      <c r="E133" s="34" t="str">
        <f t="shared" si="18"/>
        <v/>
      </c>
      <c r="F133" s="25" t="str">
        <f t="shared" si="19"/>
        <v/>
      </c>
      <c r="G133" s="25" t="str">
        <f t="shared" si="20"/>
        <v/>
      </c>
      <c r="H133" s="25" t="str">
        <f t="shared" si="21"/>
        <v/>
      </c>
      <c r="I133" s="25" t="str">
        <f t="shared" si="22"/>
        <v/>
      </c>
      <c r="J133" s="26" t="str">
        <f t="shared" si="23"/>
        <v/>
      </c>
      <c r="K133" s="26" t="str">
        <f>IF(C133="","",IF(LEN(C133)-LEN(SUBSTITUTE(C133,"/",""))+1=1,"TOP",IF(COUNTIF($C$4:INDEX($C:$C,ROW()-1),IFERROR(LEFT(C133,FIND("@",SUBSTITUTE(C133,"/","@",LEN(C133)-LEN(SUBSTITUTE(C133,"/",""))))-1),"ROOT"))&gt;0,"OK","CHECK")))</f>
        <v/>
      </c>
      <c r="L133" s="26" t="str">
        <f t="shared" si="24"/>
        <v/>
      </c>
      <c r="M133" s="26" t="str">
        <f t="shared" si="25"/>
        <v/>
      </c>
      <c r="N133" s="26" t="str">
        <f t="shared" si="26"/>
        <v/>
      </c>
    </row>
    <row r="134" spans="1:14" ht="22" customHeight="1" x14ac:dyDescent="0.25">
      <c r="A134" s="27"/>
      <c r="B134" s="10"/>
      <c r="C134" s="10"/>
      <c r="D134" s="10"/>
      <c r="E134" s="34" t="str">
        <f t="shared" si="18"/>
        <v/>
      </c>
      <c r="F134" s="25" t="str">
        <f t="shared" si="19"/>
        <v/>
      </c>
      <c r="G134" s="25" t="str">
        <f t="shared" si="20"/>
        <v/>
      </c>
      <c r="H134" s="25" t="str">
        <f t="shared" si="21"/>
        <v/>
      </c>
      <c r="I134" s="25" t="str">
        <f t="shared" si="22"/>
        <v/>
      </c>
      <c r="J134" s="26" t="str">
        <f t="shared" si="23"/>
        <v/>
      </c>
      <c r="K134" s="26" t="str">
        <f>IF(C134="","",IF(LEN(C134)-LEN(SUBSTITUTE(C134,"/",""))+1=1,"TOP",IF(COUNTIF($C$4:INDEX($C:$C,ROW()-1),IFERROR(LEFT(C134,FIND("@",SUBSTITUTE(C134,"/","@",LEN(C134)-LEN(SUBSTITUTE(C134,"/",""))))-1),"ROOT"))&gt;0,"OK","CHECK")))</f>
        <v/>
      </c>
      <c r="L134" s="26" t="str">
        <f t="shared" si="24"/>
        <v/>
      </c>
      <c r="M134" s="26" t="str">
        <f t="shared" si="25"/>
        <v/>
      </c>
      <c r="N134" s="26" t="str">
        <f t="shared" si="26"/>
        <v/>
      </c>
    </row>
    <row r="135" spans="1:14" ht="22" customHeight="1" x14ac:dyDescent="0.25">
      <c r="A135" s="27"/>
      <c r="B135" s="10"/>
      <c r="C135" s="10"/>
      <c r="D135" s="10"/>
      <c r="E135" s="34" t="str">
        <f t="shared" si="18"/>
        <v/>
      </c>
      <c r="F135" s="25" t="str">
        <f t="shared" si="19"/>
        <v/>
      </c>
      <c r="G135" s="25" t="str">
        <f t="shared" si="20"/>
        <v/>
      </c>
      <c r="H135" s="25" t="str">
        <f t="shared" si="21"/>
        <v/>
      </c>
      <c r="I135" s="25" t="str">
        <f t="shared" si="22"/>
        <v/>
      </c>
      <c r="J135" s="26" t="str">
        <f t="shared" si="23"/>
        <v/>
      </c>
      <c r="K135" s="26" t="str">
        <f>IF(C135="","",IF(LEN(C135)-LEN(SUBSTITUTE(C135,"/",""))+1=1,"TOP",IF(COUNTIF($C$4:INDEX($C:$C,ROW()-1),IFERROR(LEFT(C135,FIND("@",SUBSTITUTE(C135,"/","@",LEN(C135)-LEN(SUBSTITUTE(C135,"/",""))))-1),"ROOT"))&gt;0,"OK","CHECK")))</f>
        <v/>
      </c>
      <c r="L135" s="26" t="str">
        <f t="shared" si="24"/>
        <v/>
      </c>
      <c r="M135" s="26" t="str">
        <f t="shared" si="25"/>
        <v/>
      </c>
      <c r="N135" s="26" t="str">
        <f t="shared" si="26"/>
        <v/>
      </c>
    </row>
    <row r="136" spans="1:14" ht="22" customHeight="1" x14ac:dyDescent="0.25">
      <c r="A136" s="27"/>
      <c r="B136" s="10"/>
      <c r="C136" s="10"/>
      <c r="D136" s="10"/>
      <c r="E136" s="34" t="str">
        <f t="shared" si="18"/>
        <v/>
      </c>
      <c r="F136" s="25" t="str">
        <f t="shared" si="19"/>
        <v/>
      </c>
      <c r="G136" s="25" t="str">
        <f t="shared" si="20"/>
        <v/>
      </c>
      <c r="H136" s="25" t="str">
        <f t="shared" si="21"/>
        <v/>
      </c>
      <c r="I136" s="25" t="str">
        <f t="shared" si="22"/>
        <v/>
      </c>
      <c r="J136" s="26" t="str">
        <f t="shared" si="23"/>
        <v/>
      </c>
      <c r="K136" s="26" t="str">
        <f>IF(C136="","",IF(LEN(C136)-LEN(SUBSTITUTE(C136,"/",""))+1=1,"TOP",IF(COUNTIF($C$4:INDEX($C:$C,ROW()-1),IFERROR(LEFT(C136,FIND("@",SUBSTITUTE(C136,"/","@",LEN(C136)-LEN(SUBSTITUTE(C136,"/",""))))-1),"ROOT"))&gt;0,"OK","CHECK")))</f>
        <v/>
      </c>
      <c r="L136" s="26" t="str">
        <f t="shared" si="24"/>
        <v/>
      </c>
      <c r="M136" s="26" t="str">
        <f t="shared" si="25"/>
        <v/>
      </c>
      <c r="N136" s="26" t="str">
        <f t="shared" si="26"/>
        <v/>
      </c>
    </row>
    <row r="137" spans="1:14" ht="22" customHeight="1" x14ac:dyDescent="0.25">
      <c r="A137" s="27"/>
      <c r="B137" s="10"/>
      <c r="C137" s="10"/>
      <c r="D137" s="10"/>
      <c r="E137" s="34" t="str">
        <f t="shared" si="18"/>
        <v/>
      </c>
      <c r="F137" s="25" t="str">
        <f t="shared" si="19"/>
        <v/>
      </c>
      <c r="G137" s="25" t="str">
        <f t="shared" si="20"/>
        <v/>
      </c>
      <c r="H137" s="25" t="str">
        <f t="shared" si="21"/>
        <v/>
      </c>
      <c r="I137" s="25" t="str">
        <f t="shared" si="22"/>
        <v/>
      </c>
      <c r="J137" s="26" t="str">
        <f t="shared" si="23"/>
        <v/>
      </c>
      <c r="K137" s="26" t="str">
        <f>IF(C137="","",IF(LEN(C137)-LEN(SUBSTITUTE(C137,"/",""))+1=1,"TOP",IF(COUNTIF($C$4:INDEX($C:$C,ROW()-1),IFERROR(LEFT(C137,FIND("@",SUBSTITUTE(C137,"/","@",LEN(C137)-LEN(SUBSTITUTE(C137,"/",""))))-1),"ROOT"))&gt;0,"OK","CHECK")))</f>
        <v/>
      </c>
      <c r="L137" s="26" t="str">
        <f t="shared" si="24"/>
        <v/>
      </c>
      <c r="M137" s="26" t="str">
        <f t="shared" si="25"/>
        <v/>
      </c>
      <c r="N137" s="26" t="str">
        <f t="shared" si="26"/>
        <v/>
      </c>
    </row>
    <row r="138" spans="1:14" ht="22" customHeight="1" x14ac:dyDescent="0.25">
      <c r="A138" s="27"/>
      <c r="B138" s="10"/>
      <c r="C138" s="10"/>
      <c r="D138" s="10"/>
      <c r="E138" s="34" t="str">
        <f t="shared" si="18"/>
        <v/>
      </c>
      <c r="F138" s="25" t="str">
        <f t="shared" si="19"/>
        <v/>
      </c>
      <c r="G138" s="25" t="str">
        <f t="shared" si="20"/>
        <v/>
      </c>
      <c r="H138" s="25" t="str">
        <f t="shared" si="21"/>
        <v/>
      </c>
      <c r="I138" s="25" t="str">
        <f t="shared" si="22"/>
        <v/>
      </c>
      <c r="J138" s="26" t="str">
        <f t="shared" si="23"/>
        <v/>
      </c>
      <c r="K138" s="26" t="str">
        <f>IF(C138="","",IF(LEN(C138)-LEN(SUBSTITUTE(C138,"/",""))+1=1,"TOP",IF(COUNTIF($C$4:INDEX($C:$C,ROW()-1),IFERROR(LEFT(C138,FIND("@",SUBSTITUTE(C138,"/","@",LEN(C138)-LEN(SUBSTITUTE(C138,"/",""))))-1),"ROOT"))&gt;0,"OK","CHECK")))</f>
        <v/>
      </c>
      <c r="L138" s="26" t="str">
        <f t="shared" si="24"/>
        <v/>
      </c>
      <c r="M138" s="26" t="str">
        <f t="shared" si="25"/>
        <v/>
      </c>
      <c r="N138" s="26" t="str">
        <f t="shared" si="26"/>
        <v/>
      </c>
    </row>
    <row r="139" spans="1:14" ht="22" customHeight="1" x14ac:dyDescent="0.25">
      <c r="A139" s="27"/>
      <c r="B139" s="10"/>
      <c r="C139" s="10"/>
      <c r="D139" s="10"/>
      <c r="E139" s="34" t="str">
        <f t="shared" si="18"/>
        <v/>
      </c>
      <c r="F139" s="25" t="str">
        <f t="shared" si="19"/>
        <v/>
      </c>
      <c r="G139" s="25" t="str">
        <f t="shared" si="20"/>
        <v/>
      </c>
      <c r="H139" s="25" t="str">
        <f t="shared" si="21"/>
        <v/>
      </c>
      <c r="I139" s="25" t="str">
        <f t="shared" si="22"/>
        <v/>
      </c>
      <c r="J139" s="26" t="str">
        <f t="shared" si="23"/>
        <v/>
      </c>
      <c r="K139" s="26" t="str">
        <f>IF(C139="","",IF(LEN(C139)-LEN(SUBSTITUTE(C139,"/",""))+1=1,"TOP",IF(COUNTIF($C$4:INDEX($C:$C,ROW()-1),IFERROR(LEFT(C139,FIND("@",SUBSTITUTE(C139,"/","@",LEN(C139)-LEN(SUBSTITUTE(C139,"/",""))))-1),"ROOT"))&gt;0,"OK","CHECK")))</f>
        <v/>
      </c>
      <c r="L139" s="26" t="str">
        <f t="shared" si="24"/>
        <v/>
      </c>
      <c r="M139" s="26" t="str">
        <f t="shared" si="25"/>
        <v/>
      </c>
      <c r="N139" s="26" t="str">
        <f t="shared" si="26"/>
        <v/>
      </c>
    </row>
    <row r="140" spans="1:14" ht="22" customHeight="1" x14ac:dyDescent="0.25">
      <c r="A140" s="27"/>
      <c r="B140" s="10"/>
      <c r="C140" s="10"/>
      <c r="D140" s="10"/>
      <c r="E140" s="34" t="str">
        <f t="shared" si="18"/>
        <v/>
      </c>
      <c r="F140" s="25" t="str">
        <f t="shared" si="19"/>
        <v/>
      </c>
      <c r="G140" s="25" t="str">
        <f t="shared" si="20"/>
        <v/>
      </c>
      <c r="H140" s="25" t="str">
        <f t="shared" si="21"/>
        <v/>
      </c>
      <c r="I140" s="25" t="str">
        <f t="shared" si="22"/>
        <v/>
      </c>
      <c r="J140" s="26" t="str">
        <f t="shared" si="23"/>
        <v/>
      </c>
      <c r="K140" s="26" t="str">
        <f>IF(C140="","",IF(LEN(C140)-LEN(SUBSTITUTE(C140,"/",""))+1=1,"TOP",IF(COUNTIF($C$4:INDEX($C:$C,ROW()-1),IFERROR(LEFT(C140,FIND("@",SUBSTITUTE(C140,"/","@",LEN(C140)-LEN(SUBSTITUTE(C140,"/",""))))-1),"ROOT"))&gt;0,"OK","CHECK")))</f>
        <v/>
      </c>
      <c r="L140" s="26" t="str">
        <f t="shared" si="24"/>
        <v/>
      </c>
      <c r="M140" s="26" t="str">
        <f t="shared" si="25"/>
        <v/>
      </c>
      <c r="N140" s="26" t="str">
        <f t="shared" si="26"/>
        <v/>
      </c>
    </row>
    <row r="141" spans="1:14" ht="22" customHeight="1" x14ac:dyDescent="0.25">
      <c r="A141" s="27"/>
      <c r="B141" s="10"/>
      <c r="C141" s="10"/>
      <c r="D141" s="10"/>
      <c r="E141" s="34" t="str">
        <f t="shared" si="18"/>
        <v/>
      </c>
      <c r="F141" s="25" t="str">
        <f t="shared" si="19"/>
        <v/>
      </c>
      <c r="G141" s="25" t="str">
        <f t="shared" si="20"/>
        <v/>
      </c>
      <c r="H141" s="25" t="str">
        <f t="shared" si="21"/>
        <v/>
      </c>
      <c r="I141" s="25" t="str">
        <f t="shared" si="22"/>
        <v/>
      </c>
      <c r="J141" s="26" t="str">
        <f t="shared" si="23"/>
        <v/>
      </c>
      <c r="K141" s="26" t="str">
        <f>IF(C141="","",IF(LEN(C141)-LEN(SUBSTITUTE(C141,"/",""))+1=1,"TOP",IF(COUNTIF($C$4:INDEX($C:$C,ROW()-1),IFERROR(LEFT(C141,FIND("@",SUBSTITUTE(C141,"/","@",LEN(C141)-LEN(SUBSTITUTE(C141,"/",""))))-1),"ROOT"))&gt;0,"OK","CHECK")))</f>
        <v/>
      </c>
      <c r="L141" s="26" t="str">
        <f t="shared" si="24"/>
        <v/>
      </c>
      <c r="M141" s="26" t="str">
        <f t="shared" si="25"/>
        <v/>
      </c>
      <c r="N141" s="26" t="str">
        <f t="shared" si="26"/>
        <v/>
      </c>
    </row>
    <row r="142" spans="1:14" ht="22" customHeight="1" x14ac:dyDescent="0.25">
      <c r="A142" s="27"/>
      <c r="B142" s="10"/>
      <c r="C142" s="10"/>
      <c r="D142" s="10"/>
      <c r="E142" s="34" t="str">
        <f t="shared" si="18"/>
        <v/>
      </c>
      <c r="F142" s="25" t="str">
        <f t="shared" si="19"/>
        <v/>
      </c>
      <c r="G142" s="25" t="str">
        <f t="shared" si="20"/>
        <v/>
      </c>
      <c r="H142" s="25" t="str">
        <f t="shared" si="21"/>
        <v/>
      </c>
      <c r="I142" s="25" t="str">
        <f t="shared" si="22"/>
        <v/>
      </c>
      <c r="J142" s="26" t="str">
        <f t="shared" si="23"/>
        <v/>
      </c>
      <c r="K142" s="26" t="str">
        <f>IF(C142="","",IF(LEN(C142)-LEN(SUBSTITUTE(C142,"/",""))+1=1,"TOP",IF(COUNTIF($C$4:INDEX($C:$C,ROW()-1),IFERROR(LEFT(C142,FIND("@",SUBSTITUTE(C142,"/","@",LEN(C142)-LEN(SUBSTITUTE(C142,"/",""))))-1),"ROOT"))&gt;0,"OK","CHECK")))</f>
        <v/>
      </c>
      <c r="L142" s="26" t="str">
        <f t="shared" si="24"/>
        <v/>
      </c>
      <c r="M142" s="26" t="str">
        <f t="shared" si="25"/>
        <v/>
      </c>
      <c r="N142" s="26" t="str">
        <f t="shared" si="26"/>
        <v/>
      </c>
    </row>
    <row r="143" spans="1:14" ht="22" customHeight="1" x14ac:dyDescent="0.25">
      <c r="A143" s="27"/>
      <c r="B143" s="10"/>
      <c r="C143" s="10"/>
      <c r="D143" s="10"/>
      <c r="E143" s="34" t="str">
        <f t="shared" si="18"/>
        <v/>
      </c>
      <c r="F143" s="25" t="str">
        <f t="shared" si="19"/>
        <v/>
      </c>
      <c r="G143" s="25" t="str">
        <f t="shared" si="20"/>
        <v/>
      </c>
      <c r="H143" s="25" t="str">
        <f t="shared" si="21"/>
        <v/>
      </c>
      <c r="I143" s="25" t="str">
        <f t="shared" si="22"/>
        <v/>
      </c>
      <c r="J143" s="26" t="str">
        <f t="shared" si="23"/>
        <v/>
      </c>
      <c r="K143" s="26" t="str">
        <f>IF(C143="","",IF(LEN(C143)-LEN(SUBSTITUTE(C143,"/",""))+1=1,"TOP",IF(COUNTIF($C$4:INDEX($C:$C,ROW()-1),IFERROR(LEFT(C143,FIND("@",SUBSTITUTE(C143,"/","@",LEN(C143)-LEN(SUBSTITUTE(C143,"/",""))))-1),"ROOT"))&gt;0,"OK","CHECK")))</f>
        <v/>
      </c>
      <c r="L143" s="26" t="str">
        <f t="shared" si="24"/>
        <v/>
      </c>
      <c r="M143" s="26" t="str">
        <f t="shared" si="25"/>
        <v/>
      </c>
      <c r="N143" s="26" t="str">
        <f t="shared" si="26"/>
        <v/>
      </c>
    </row>
    <row r="144" spans="1:14" ht="22" customHeight="1" x14ac:dyDescent="0.25">
      <c r="A144" s="27"/>
      <c r="B144" s="10"/>
      <c r="C144" s="10"/>
      <c r="D144" s="10"/>
      <c r="E144" s="34" t="str">
        <f t="shared" si="18"/>
        <v/>
      </c>
      <c r="F144" s="25" t="str">
        <f t="shared" si="19"/>
        <v/>
      </c>
      <c r="G144" s="25" t="str">
        <f t="shared" si="20"/>
        <v/>
      </c>
      <c r="H144" s="25" t="str">
        <f t="shared" si="21"/>
        <v/>
      </c>
      <c r="I144" s="25" t="str">
        <f t="shared" si="22"/>
        <v/>
      </c>
      <c r="J144" s="26" t="str">
        <f t="shared" si="23"/>
        <v/>
      </c>
      <c r="K144" s="26" t="str">
        <f>IF(C144="","",IF(LEN(C144)-LEN(SUBSTITUTE(C144,"/",""))+1=1,"TOP",IF(COUNTIF($C$4:INDEX($C:$C,ROW()-1),IFERROR(LEFT(C144,FIND("@",SUBSTITUTE(C144,"/","@",LEN(C144)-LEN(SUBSTITUTE(C144,"/",""))))-1),"ROOT"))&gt;0,"OK","CHECK")))</f>
        <v/>
      </c>
      <c r="L144" s="26" t="str">
        <f t="shared" si="24"/>
        <v/>
      </c>
      <c r="M144" s="26" t="str">
        <f t="shared" si="25"/>
        <v/>
      </c>
      <c r="N144" s="26" t="str">
        <f t="shared" si="26"/>
        <v/>
      </c>
    </row>
    <row r="145" spans="1:14" ht="22" customHeight="1" x14ac:dyDescent="0.25">
      <c r="A145" s="27"/>
      <c r="B145" s="10"/>
      <c r="C145" s="10"/>
      <c r="D145" s="10"/>
      <c r="E145" s="34" t="str">
        <f t="shared" si="18"/>
        <v/>
      </c>
      <c r="F145" s="25" t="str">
        <f t="shared" si="19"/>
        <v/>
      </c>
      <c r="G145" s="25" t="str">
        <f t="shared" si="20"/>
        <v/>
      </c>
      <c r="H145" s="25" t="str">
        <f t="shared" si="21"/>
        <v/>
      </c>
      <c r="I145" s="25" t="str">
        <f t="shared" si="22"/>
        <v/>
      </c>
      <c r="J145" s="26" t="str">
        <f t="shared" si="23"/>
        <v/>
      </c>
      <c r="K145" s="26" t="str">
        <f>IF(C145="","",IF(LEN(C145)-LEN(SUBSTITUTE(C145,"/",""))+1=1,"TOP",IF(COUNTIF($C$4:INDEX($C:$C,ROW()-1),IFERROR(LEFT(C145,FIND("@",SUBSTITUTE(C145,"/","@",LEN(C145)-LEN(SUBSTITUTE(C145,"/",""))))-1),"ROOT"))&gt;0,"OK","CHECK")))</f>
        <v/>
      </c>
      <c r="L145" s="26" t="str">
        <f t="shared" si="24"/>
        <v/>
      </c>
      <c r="M145" s="26" t="str">
        <f t="shared" si="25"/>
        <v/>
      </c>
      <c r="N145" s="26" t="str">
        <f t="shared" si="26"/>
        <v/>
      </c>
    </row>
    <row r="146" spans="1:14" ht="22" customHeight="1" x14ac:dyDescent="0.25">
      <c r="A146" s="27"/>
      <c r="B146" s="10"/>
      <c r="C146" s="10"/>
      <c r="D146" s="10"/>
      <c r="E146" s="34" t="str">
        <f t="shared" si="18"/>
        <v/>
      </c>
      <c r="F146" s="25" t="str">
        <f t="shared" si="19"/>
        <v/>
      </c>
      <c r="G146" s="25" t="str">
        <f t="shared" si="20"/>
        <v/>
      </c>
      <c r="H146" s="25" t="str">
        <f t="shared" si="21"/>
        <v/>
      </c>
      <c r="I146" s="25" t="str">
        <f t="shared" si="22"/>
        <v/>
      </c>
      <c r="J146" s="26" t="str">
        <f t="shared" si="23"/>
        <v/>
      </c>
      <c r="K146" s="26" t="str">
        <f>IF(C146="","",IF(LEN(C146)-LEN(SUBSTITUTE(C146,"/",""))+1=1,"TOP",IF(COUNTIF($C$4:INDEX($C:$C,ROW()-1),IFERROR(LEFT(C146,FIND("@",SUBSTITUTE(C146,"/","@",LEN(C146)-LEN(SUBSTITUTE(C146,"/",""))))-1),"ROOT"))&gt;0,"OK","CHECK")))</f>
        <v/>
      </c>
      <c r="L146" s="26" t="str">
        <f t="shared" si="24"/>
        <v/>
      </c>
      <c r="M146" s="26" t="str">
        <f t="shared" si="25"/>
        <v/>
      </c>
      <c r="N146" s="26" t="str">
        <f t="shared" si="26"/>
        <v/>
      </c>
    </row>
    <row r="147" spans="1:14" ht="22" customHeight="1" x14ac:dyDescent="0.25">
      <c r="A147" s="27"/>
      <c r="B147" s="10"/>
      <c r="C147" s="10"/>
      <c r="D147" s="10"/>
      <c r="E147" s="34" t="str">
        <f t="shared" si="18"/>
        <v/>
      </c>
      <c r="F147" s="25" t="str">
        <f t="shared" si="19"/>
        <v/>
      </c>
      <c r="G147" s="25" t="str">
        <f t="shared" si="20"/>
        <v/>
      </c>
      <c r="H147" s="25" t="str">
        <f t="shared" si="21"/>
        <v/>
      </c>
      <c r="I147" s="25" t="str">
        <f t="shared" si="22"/>
        <v/>
      </c>
      <c r="J147" s="26" t="str">
        <f t="shared" si="23"/>
        <v/>
      </c>
      <c r="K147" s="26" t="str">
        <f>IF(C147="","",IF(LEN(C147)-LEN(SUBSTITUTE(C147,"/",""))+1=1,"TOP",IF(COUNTIF($C$4:INDEX($C:$C,ROW()-1),IFERROR(LEFT(C147,FIND("@",SUBSTITUTE(C147,"/","@",LEN(C147)-LEN(SUBSTITUTE(C147,"/",""))))-1),"ROOT"))&gt;0,"OK","CHECK")))</f>
        <v/>
      </c>
      <c r="L147" s="26" t="str">
        <f t="shared" si="24"/>
        <v/>
      </c>
      <c r="M147" s="26" t="str">
        <f t="shared" si="25"/>
        <v/>
      </c>
      <c r="N147" s="26" t="str">
        <f t="shared" si="26"/>
        <v/>
      </c>
    </row>
    <row r="148" spans="1:14" ht="22" customHeight="1" x14ac:dyDescent="0.25">
      <c r="A148" s="27"/>
      <c r="B148" s="10"/>
      <c r="C148" s="10"/>
      <c r="D148" s="10"/>
      <c r="E148" s="34" t="str">
        <f t="shared" si="18"/>
        <v/>
      </c>
      <c r="F148" s="25" t="str">
        <f t="shared" si="19"/>
        <v/>
      </c>
      <c r="G148" s="25" t="str">
        <f t="shared" si="20"/>
        <v/>
      </c>
      <c r="H148" s="25" t="str">
        <f t="shared" si="21"/>
        <v/>
      </c>
      <c r="I148" s="25" t="str">
        <f t="shared" si="22"/>
        <v/>
      </c>
      <c r="J148" s="26" t="str">
        <f t="shared" si="23"/>
        <v/>
      </c>
      <c r="K148" s="26" t="str">
        <f>IF(C148="","",IF(LEN(C148)-LEN(SUBSTITUTE(C148,"/",""))+1=1,"TOP",IF(COUNTIF($C$4:INDEX($C:$C,ROW()-1),IFERROR(LEFT(C148,FIND("@",SUBSTITUTE(C148,"/","@",LEN(C148)-LEN(SUBSTITUTE(C148,"/",""))))-1),"ROOT"))&gt;0,"OK","CHECK")))</f>
        <v/>
      </c>
      <c r="L148" s="26" t="str">
        <f t="shared" si="24"/>
        <v/>
      </c>
      <c r="M148" s="26" t="str">
        <f t="shared" si="25"/>
        <v/>
      </c>
      <c r="N148" s="26" t="str">
        <f t="shared" si="26"/>
        <v/>
      </c>
    </row>
    <row r="149" spans="1:14" ht="22" customHeight="1" x14ac:dyDescent="0.25">
      <c r="A149" s="27"/>
      <c r="B149" s="10"/>
      <c r="C149" s="10"/>
      <c r="D149" s="10"/>
      <c r="E149" s="34" t="str">
        <f t="shared" si="18"/>
        <v/>
      </c>
      <c r="F149" s="25" t="str">
        <f t="shared" si="19"/>
        <v/>
      </c>
      <c r="G149" s="25" t="str">
        <f t="shared" si="20"/>
        <v/>
      </c>
      <c r="H149" s="25" t="str">
        <f t="shared" si="21"/>
        <v/>
      </c>
      <c r="I149" s="25" t="str">
        <f t="shared" si="22"/>
        <v/>
      </c>
      <c r="J149" s="26" t="str">
        <f t="shared" si="23"/>
        <v/>
      </c>
      <c r="K149" s="26" t="str">
        <f>IF(C149="","",IF(LEN(C149)-LEN(SUBSTITUTE(C149,"/",""))+1=1,"TOP",IF(COUNTIF($C$4:INDEX($C:$C,ROW()-1),IFERROR(LEFT(C149,FIND("@",SUBSTITUTE(C149,"/","@",LEN(C149)-LEN(SUBSTITUTE(C149,"/",""))))-1),"ROOT"))&gt;0,"OK","CHECK")))</f>
        <v/>
      </c>
      <c r="L149" s="26" t="str">
        <f t="shared" si="24"/>
        <v/>
      </c>
      <c r="M149" s="26" t="str">
        <f t="shared" si="25"/>
        <v/>
      </c>
      <c r="N149" s="26" t="str">
        <f t="shared" si="26"/>
        <v/>
      </c>
    </row>
    <row r="150" spans="1:14" ht="22" customHeight="1" x14ac:dyDescent="0.25">
      <c r="A150" s="27"/>
      <c r="B150" s="10"/>
      <c r="C150" s="10"/>
      <c r="D150" s="10"/>
      <c r="E150" s="34" t="str">
        <f t="shared" si="18"/>
        <v/>
      </c>
      <c r="F150" s="25" t="str">
        <f t="shared" si="19"/>
        <v/>
      </c>
      <c r="G150" s="25" t="str">
        <f t="shared" si="20"/>
        <v/>
      </c>
      <c r="H150" s="25" t="str">
        <f t="shared" si="21"/>
        <v/>
      </c>
      <c r="I150" s="25" t="str">
        <f t="shared" si="22"/>
        <v/>
      </c>
      <c r="J150" s="26" t="str">
        <f t="shared" si="23"/>
        <v/>
      </c>
      <c r="K150" s="26" t="str">
        <f>IF(C150="","",IF(LEN(C150)-LEN(SUBSTITUTE(C150,"/",""))+1=1,"TOP",IF(COUNTIF($C$4:INDEX($C:$C,ROW()-1),IFERROR(LEFT(C150,FIND("@",SUBSTITUTE(C150,"/","@",LEN(C150)-LEN(SUBSTITUTE(C150,"/",""))))-1),"ROOT"))&gt;0,"OK","CHECK")))</f>
        <v/>
      </c>
      <c r="L150" s="26" t="str">
        <f t="shared" si="24"/>
        <v/>
      </c>
      <c r="M150" s="26" t="str">
        <f t="shared" si="25"/>
        <v/>
      </c>
      <c r="N150" s="26" t="str">
        <f t="shared" si="26"/>
        <v/>
      </c>
    </row>
    <row r="151" spans="1:14" ht="22" customHeight="1" x14ac:dyDescent="0.25">
      <c r="A151" s="27"/>
      <c r="B151" s="10"/>
      <c r="C151" s="10"/>
      <c r="D151" s="10"/>
      <c r="E151" s="34" t="str">
        <f t="shared" si="18"/>
        <v/>
      </c>
      <c r="F151" s="25" t="str">
        <f t="shared" si="19"/>
        <v/>
      </c>
      <c r="G151" s="25" t="str">
        <f t="shared" si="20"/>
        <v/>
      </c>
      <c r="H151" s="25" t="str">
        <f t="shared" si="21"/>
        <v/>
      </c>
      <c r="I151" s="25" t="str">
        <f t="shared" si="22"/>
        <v/>
      </c>
      <c r="J151" s="26" t="str">
        <f t="shared" si="23"/>
        <v/>
      </c>
      <c r="K151" s="26" t="str">
        <f>IF(C151="","",IF(LEN(C151)-LEN(SUBSTITUTE(C151,"/",""))+1=1,"TOP",IF(COUNTIF($C$4:INDEX($C:$C,ROW()-1),IFERROR(LEFT(C151,FIND("@",SUBSTITUTE(C151,"/","@",LEN(C151)-LEN(SUBSTITUTE(C151,"/",""))))-1),"ROOT"))&gt;0,"OK","CHECK")))</f>
        <v/>
      </c>
      <c r="L151" s="26" t="str">
        <f t="shared" si="24"/>
        <v/>
      </c>
      <c r="M151" s="26" t="str">
        <f t="shared" si="25"/>
        <v/>
      </c>
      <c r="N151" s="26" t="str">
        <f t="shared" si="26"/>
        <v/>
      </c>
    </row>
    <row r="152" spans="1:14" ht="22" customHeight="1" x14ac:dyDescent="0.25">
      <c r="A152" s="27"/>
      <c r="B152" s="10"/>
      <c r="C152" s="10"/>
      <c r="D152" s="10"/>
      <c r="E152" s="34" t="str">
        <f t="shared" si="18"/>
        <v/>
      </c>
      <c r="F152" s="25" t="str">
        <f t="shared" si="19"/>
        <v/>
      </c>
      <c r="G152" s="25" t="str">
        <f t="shared" si="20"/>
        <v/>
      </c>
      <c r="H152" s="25" t="str">
        <f t="shared" si="21"/>
        <v/>
      </c>
      <c r="I152" s="25" t="str">
        <f t="shared" si="22"/>
        <v/>
      </c>
      <c r="J152" s="26" t="str">
        <f t="shared" si="23"/>
        <v/>
      </c>
      <c r="K152" s="26" t="str">
        <f>IF(C152="","",IF(LEN(C152)-LEN(SUBSTITUTE(C152,"/",""))+1=1,"TOP",IF(COUNTIF($C$4:INDEX($C:$C,ROW()-1),IFERROR(LEFT(C152,FIND("@",SUBSTITUTE(C152,"/","@",LEN(C152)-LEN(SUBSTITUTE(C152,"/",""))))-1),"ROOT"))&gt;0,"OK","CHECK")))</f>
        <v/>
      </c>
      <c r="L152" s="26" t="str">
        <f t="shared" si="24"/>
        <v/>
      </c>
      <c r="M152" s="26" t="str">
        <f t="shared" si="25"/>
        <v/>
      </c>
      <c r="N152" s="26" t="str">
        <f t="shared" si="26"/>
        <v/>
      </c>
    </row>
    <row r="153" spans="1:14" ht="22" customHeight="1" x14ac:dyDescent="0.25">
      <c r="A153" s="27"/>
      <c r="B153" s="10"/>
      <c r="C153" s="10"/>
      <c r="D153" s="10"/>
      <c r="E153" s="34" t="str">
        <f t="shared" si="18"/>
        <v/>
      </c>
      <c r="F153" s="25" t="str">
        <f t="shared" si="19"/>
        <v/>
      </c>
      <c r="G153" s="25" t="str">
        <f t="shared" si="20"/>
        <v/>
      </c>
      <c r="H153" s="25" t="str">
        <f t="shared" si="21"/>
        <v/>
      </c>
      <c r="I153" s="25" t="str">
        <f t="shared" si="22"/>
        <v/>
      </c>
      <c r="J153" s="26" t="str">
        <f t="shared" si="23"/>
        <v/>
      </c>
      <c r="K153" s="26" t="str">
        <f>IF(C153="","",IF(LEN(C153)-LEN(SUBSTITUTE(C153,"/",""))+1=1,"TOP",IF(COUNTIF($C$4:INDEX($C:$C,ROW()-1),IFERROR(LEFT(C153,FIND("@",SUBSTITUTE(C153,"/","@",LEN(C153)-LEN(SUBSTITUTE(C153,"/",""))))-1),"ROOT"))&gt;0,"OK","CHECK")))</f>
        <v/>
      </c>
      <c r="L153" s="26" t="str">
        <f t="shared" si="24"/>
        <v/>
      </c>
      <c r="M153" s="26" t="str">
        <f t="shared" si="25"/>
        <v/>
      </c>
      <c r="N153" s="26" t="str">
        <f t="shared" si="26"/>
        <v/>
      </c>
    </row>
    <row r="154" spans="1:14" ht="22" customHeight="1" x14ac:dyDescent="0.25">
      <c r="A154" s="27"/>
      <c r="B154" s="10"/>
      <c r="C154" s="10"/>
      <c r="D154" s="10"/>
      <c r="E154" s="34" t="str">
        <f t="shared" si="18"/>
        <v/>
      </c>
      <c r="F154" s="25" t="str">
        <f t="shared" si="19"/>
        <v/>
      </c>
      <c r="G154" s="25" t="str">
        <f t="shared" si="20"/>
        <v/>
      </c>
      <c r="H154" s="25" t="str">
        <f t="shared" si="21"/>
        <v/>
      </c>
      <c r="I154" s="25" t="str">
        <f t="shared" si="22"/>
        <v/>
      </c>
      <c r="J154" s="26" t="str">
        <f t="shared" si="23"/>
        <v/>
      </c>
      <c r="K154" s="26" t="str">
        <f>IF(C154="","",IF(LEN(C154)-LEN(SUBSTITUTE(C154,"/",""))+1=1,"TOP",IF(COUNTIF($C$4:INDEX($C:$C,ROW()-1),IFERROR(LEFT(C154,FIND("@",SUBSTITUTE(C154,"/","@",LEN(C154)-LEN(SUBSTITUTE(C154,"/",""))))-1),"ROOT"))&gt;0,"OK","CHECK")))</f>
        <v/>
      </c>
      <c r="L154" s="26" t="str">
        <f t="shared" si="24"/>
        <v/>
      </c>
      <c r="M154" s="26" t="str">
        <f t="shared" si="25"/>
        <v/>
      </c>
      <c r="N154" s="26" t="str">
        <f t="shared" si="26"/>
        <v/>
      </c>
    </row>
    <row r="155" spans="1:14" ht="22" customHeight="1" x14ac:dyDescent="0.25">
      <c r="A155" s="27"/>
      <c r="B155" s="10"/>
      <c r="C155" s="10"/>
      <c r="D155" s="10"/>
      <c r="E155" s="34" t="str">
        <f t="shared" si="18"/>
        <v/>
      </c>
      <c r="F155" s="25" t="str">
        <f t="shared" si="19"/>
        <v/>
      </c>
      <c r="G155" s="25" t="str">
        <f t="shared" si="20"/>
        <v/>
      </c>
      <c r="H155" s="25" t="str">
        <f t="shared" si="21"/>
        <v/>
      </c>
      <c r="I155" s="25" t="str">
        <f t="shared" si="22"/>
        <v/>
      </c>
      <c r="J155" s="26" t="str">
        <f t="shared" si="23"/>
        <v/>
      </c>
      <c r="K155" s="26" t="str">
        <f>IF(C155="","",IF(LEN(C155)-LEN(SUBSTITUTE(C155,"/",""))+1=1,"TOP",IF(COUNTIF($C$4:INDEX($C:$C,ROW()-1),IFERROR(LEFT(C155,FIND("@",SUBSTITUTE(C155,"/","@",LEN(C155)-LEN(SUBSTITUTE(C155,"/",""))))-1),"ROOT"))&gt;0,"OK","CHECK")))</f>
        <v/>
      </c>
      <c r="L155" s="26" t="str">
        <f t="shared" si="24"/>
        <v/>
      </c>
      <c r="M155" s="26" t="str">
        <f t="shared" si="25"/>
        <v/>
      </c>
      <c r="N155" s="26" t="str">
        <f t="shared" si="26"/>
        <v/>
      </c>
    </row>
    <row r="156" spans="1:14" ht="22" customHeight="1" x14ac:dyDescent="0.25">
      <c r="A156" s="27"/>
      <c r="B156" s="10"/>
      <c r="C156" s="10"/>
      <c r="D156" s="10"/>
      <c r="E156" s="34" t="str">
        <f t="shared" si="18"/>
        <v/>
      </c>
      <c r="F156" s="25" t="str">
        <f t="shared" si="19"/>
        <v/>
      </c>
      <c r="G156" s="25" t="str">
        <f t="shared" si="20"/>
        <v/>
      </c>
      <c r="H156" s="25" t="str">
        <f t="shared" si="21"/>
        <v/>
      </c>
      <c r="I156" s="25" t="str">
        <f t="shared" si="22"/>
        <v/>
      </c>
      <c r="J156" s="26" t="str">
        <f t="shared" si="23"/>
        <v/>
      </c>
      <c r="K156" s="26" t="str">
        <f>IF(C156="","",IF(LEN(C156)-LEN(SUBSTITUTE(C156,"/",""))+1=1,"TOP",IF(COUNTIF($C$4:INDEX($C:$C,ROW()-1),IFERROR(LEFT(C156,FIND("@",SUBSTITUTE(C156,"/","@",LEN(C156)-LEN(SUBSTITUTE(C156,"/",""))))-1),"ROOT"))&gt;0,"OK","CHECK")))</f>
        <v/>
      </c>
      <c r="L156" s="26" t="str">
        <f t="shared" si="24"/>
        <v/>
      </c>
      <c r="M156" s="26" t="str">
        <f t="shared" si="25"/>
        <v/>
      </c>
      <c r="N156" s="26" t="str">
        <f t="shared" si="26"/>
        <v/>
      </c>
    </row>
    <row r="157" spans="1:14" ht="22" customHeight="1" x14ac:dyDescent="0.25">
      <c r="A157" s="27"/>
      <c r="B157" s="10"/>
      <c r="C157" s="10"/>
      <c r="D157" s="10"/>
      <c r="E157" s="34" t="str">
        <f t="shared" si="18"/>
        <v/>
      </c>
      <c r="F157" s="25" t="str">
        <f t="shared" si="19"/>
        <v/>
      </c>
      <c r="G157" s="25" t="str">
        <f t="shared" si="20"/>
        <v/>
      </c>
      <c r="H157" s="25" t="str">
        <f t="shared" si="21"/>
        <v/>
      </c>
      <c r="I157" s="25" t="str">
        <f t="shared" si="22"/>
        <v/>
      </c>
      <c r="J157" s="26" t="str">
        <f t="shared" si="23"/>
        <v/>
      </c>
      <c r="K157" s="26" t="str">
        <f>IF(C157="","",IF(LEN(C157)-LEN(SUBSTITUTE(C157,"/",""))+1=1,"TOP",IF(COUNTIF($C$4:INDEX($C:$C,ROW()-1),IFERROR(LEFT(C157,FIND("@",SUBSTITUTE(C157,"/","@",LEN(C157)-LEN(SUBSTITUTE(C157,"/",""))))-1),"ROOT"))&gt;0,"OK","CHECK")))</f>
        <v/>
      </c>
      <c r="L157" s="26" t="str">
        <f t="shared" si="24"/>
        <v/>
      </c>
      <c r="M157" s="26" t="str">
        <f t="shared" si="25"/>
        <v/>
      </c>
      <c r="N157" s="26" t="str">
        <f t="shared" si="26"/>
        <v/>
      </c>
    </row>
    <row r="158" spans="1:14" ht="22" customHeight="1" x14ac:dyDescent="0.25">
      <c r="A158" s="27"/>
      <c r="B158" s="10"/>
      <c r="C158" s="10"/>
      <c r="D158" s="10"/>
      <c r="E158" s="34" t="str">
        <f t="shared" si="18"/>
        <v/>
      </c>
      <c r="F158" s="25" t="str">
        <f t="shared" si="19"/>
        <v/>
      </c>
      <c r="G158" s="25" t="str">
        <f t="shared" si="20"/>
        <v/>
      </c>
      <c r="H158" s="25" t="str">
        <f t="shared" si="21"/>
        <v/>
      </c>
      <c r="I158" s="25" t="str">
        <f t="shared" si="22"/>
        <v/>
      </c>
      <c r="J158" s="26" t="str">
        <f t="shared" si="23"/>
        <v/>
      </c>
      <c r="K158" s="26" t="str">
        <f>IF(C158="","",IF(LEN(C158)-LEN(SUBSTITUTE(C158,"/",""))+1=1,"TOP",IF(COUNTIF($C$4:INDEX($C:$C,ROW()-1),IFERROR(LEFT(C158,FIND("@",SUBSTITUTE(C158,"/","@",LEN(C158)-LEN(SUBSTITUTE(C158,"/",""))))-1),"ROOT"))&gt;0,"OK","CHECK")))</f>
        <v/>
      </c>
      <c r="L158" s="26" t="str">
        <f t="shared" si="24"/>
        <v/>
      </c>
      <c r="M158" s="26" t="str">
        <f t="shared" si="25"/>
        <v/>
      </c>
      <c r="N158" s="26" t="str">
        <f t="shared" si="26"/>
        <v/>
      </c>
    </row>
    <row r="159" spans="1:14" ht="22" customHeight="1" x14ac:dyDescent="0.25">
      <c r="A159" s="27"/>
      <c r="B159" s="10"/>
      <c r="C159" s="10"/>
      <c r="D159" s="10"/>
      <c r="E159" s="34" t="str">
        <f t="shared" si="18"/>
        <v/>
      </c>
      <c r="F159" s="25" t="str">
        <f t="shared" si="19"/>
        <v/>
      </c>
      <c r="G159" s="25" t="str">
        <f t="shared" si="20"/>
        <v/>
      </c>
      <c r="H159" s="25" t="str">
        <f t="shared" si="21"/>
        <v/>
      </c>
      <c r="I159" s="25" t="str">
        <f t="shared" si="22"/>
        <v/>
      </c>
      <c r="J159" s="26" t="str">
        <f t="shared" si="23"/>
        <v/>
      </c>
      <c r="K159" s="26" t="str">
        <f>IF(C159="","",IF(LEN(C159)-LEN(SUBSTITUTE(C159,"/",""))+1=1,"TOP",IF(COUNTIF($C$4:INDEX($C:$C,ROW()-1),IFERROR(LEFT(C159,FIND("@",SUBSTITUTE(C159,"/","@",LEN(C159)-LEN(SUBSTITUTE(C159,"/",""))))-1),"ROOT"))&gt;0,"OK","CHECK")))</f>
        <v/>
      </c>
      <c r="L159" s="26" t="str">
        <f t="shared" si="24"/>
        <v/>
      </c>
      <c r="M159" s="26" t="str">
        <f t="shared" si="25"/>
        <v/>
      </c>
      <c r="N159" s="26" t="str">
        <f t="shared" si="26"/>
        <v/>
      </c>
    </row>
    <row r="160" spans="1:14" ht="22" customHeight="1" x14ac:dyDescent="0.25">
      <c r="A160" s="27"/>
      <c r="B160" s="10"/>
      <c r="C160" s="10"/>
      <c r="D160" s="10"/>
      <c r="E160" s="34" t="str">
        <f t="shared" si="18"/>
        <v/>
      </c>
      <c r="F160" s="25" t="str">
        <f t="shared" si="19"/>
        <v/>
      </c>
      <c r="G160" s="25" t="str">
        <f t="shared" si="20"/>
        <v/>
      </c>
      <c r="H160" s="25" t="str">
        <f t="shared" si="21"/>
        <v/>
      </c>
      <c r="I160" s="25" t="str">
        <f t="shared" si="22"/>
        <v/>
      </c>
      <c r="J160" s="26" t="str">
        <f t="shared" si="23"/>
        <v/>
      </c>
      <c r="K160" s="26" t="str">
        <f>IF(C160="","",IF(LEN(C160)-LEN(SUBSTITUTE(C160,"/",""))+1=1,"TOP",IF(COUNTIF($C$4:INDEX($C:$C,ROW()-1),IFERROR(LEFT(C160,FIND("@",SUBSTITUTE(C160,"/","@",LEN(C160)-LEN(SUBSTITUTE(C160,"/",""))))-1),"ROOT"))&gt;0,"OK","CHECK")))</f>
        <v/>
      </c>
      <c r="L160" s="26" t="str">
        <f t="shared" si="24"/>
        <v/>
      </c>
      <c r="M160" s="26" t="str">
        <f t="shared" si="25"/>
        <v/>
      </c>
      <c r="N160" s="26" t="str">
        <f t="shared" si="26"/>
        <v/>
      </c>
    </row>
    <row r="161" spans="1:14" ht="22" customHeight="1" x14ac:dyDescent="0.25">
      <c r="A161" s="27"/>
      <c r="B161" s="10"/>
      <c r="C161" s="10"/>
      <c r="D161" s="10"/>
      <c r="E161" s="34" t="str">
        <f t="shared" si="18"/>
        <v/>
      </c>
      <c r="F161" s="25" t="str">
        <f t="shared" si="19"/>
        <v/>
      </c>
      <c r="G161" s="25" t="str">
        <f t="shared" si="20"/>
        <v/>
      </c>
      <c r="H161" s="25" t="str">
        <f t="shared" si="21"/>
        <v/>
      </c>
      <c r="I161" s="25" t="str">
        <f t="shared" si="22"/>
        <v/>
      </c>
      <c r="J161" s="26" t="str">
        <f t="shared" si="23"/>
        <v/>
      </c>
      <c r="K161" s="26" t="str">
        <f>IF(C161="","",IF(LEN(C161)-LEN(SUBSTITUTE(C161,"/",""))+1=1,"TOP",IF(COUNTIF($C$4:INDEX($C:$C,ROW()-1),IFERROR(LEFT(C161,FIND("@",SUBSTITUTE(C161,"/","@",LEN(C161)-LEN(SUBSTITUTE(C161,"/",""))))-1),"ROOT"))&gt;0,"OK","CHECK")))</f>
        <v/>
      </c>
      <c r="L161" s="26" t="str">
        <f t="shared" si="24"/>
        <v/>
      </c>
      <c r="M161" s="26" t="str">
        <f t="shared" si="25"/>
        <v/>
      </c>
      <c r="N161" s="26" t="str">
        <f t="shared" si="26"/>
        <v/>
      </c>
    </row>
    <row r="162" spans="1:14" ht="22" customHeight="1" x14ac:dyDescent="0.25">
      <c r="A162" s="27"/>
      <c r="B162" s="10"/>
      <c r="C162" s="10"/>
      <c r="D162" s="10"/>
      <c r="E162" s="34" t="str">
        <f t="shared" si="18"/>
        <v/>
      </c>
      <c r="F162" s="25" t="str">
        <f t="shared" si="19"/>
        <v/>
      </c>
      <c r="G162" s="25" t="str">
        <f t="shared" si="20"/>
        <v/>
      </c>
      <c r="H162" s="25" t="str">
        <f t="shared" si="21"/>
        <v/>
      </c>
      <c r="I162" s="25" t="str">
        <f t="shared" si="22"/>
        <v/>
      </c>
      <c r="J162" s="26" t="str">
        <f t="shared" si="23"/>
        <v/>
      </c>
      <c r="K162" s="26" t="str">
        <f>IF(C162="","",IF(LEN(C162)-LEN(SUBSTITUTE(C162,"/",""))+1=1,"TOP",IF(COUNTIF($C$4:INDEX($C:$C,ROW()-1),IFERROR(LEFT(C162,FIND("@",SUBSTITUTE(C162,"/","@",LEN(C162)-LEN(SUBSTITUTE(C162,"/",""))))-1),"ROOT"))&gt;0,"OK","CHECK")))</f>
        <v/>
      </c>
      <c r="L162" s="26" t="str">
        <f t="shared" si="24"/>
        <v/>
      </c>
      <c r="M162" s="26" t="str">
        <f t="shared" si="25"/>
        <v/>
      </c>
      <c r="N162" s="26" t="str">
        <f t="shared" si="26"/>
        <v/>
      </c>
    </row>
    <row r="163" spans="1:14" ht="22" customHeight="1" x14ac:dyDescent="0.25">
      <c r="A163" s="27"/>
      <c r="B163" s="10"/>
      <c r="C163" s="10"/>
      <c r="D163" s="10"/>
      <c r="E163" s="34" t="str">
        <f t="shared" si="18"/>
        <v/>
      </c>
      <c r="F163" s="25" t="str">
        <f t="shared" si="19"/>
        <v/>
      </c>
      <c r="G163" s="25" t="str">
        <f t="shared" si="20"/>
        <v/>
      </c>
      <c r="H163" s="25" t="str">
        <f t="shared" si="21"/>
        <v/>
      </c>
      <c r="I163" s="25" t="str">
        <f t="shared" si="22"/>
        <v/>
      </c>
      <c r="J163" s="26" t="str">
        <f t="shared" si="23"/>
        <v/>
      </c>
      <c r="K163" s="26" t="str">
        <f>IF(C163="","",IF(LEN(C163)-LEN(SUBSTITUTE(C163,"/",""))+1=1,"TOP",IF(COUNTIF($C$4:INDEX($C:$C,ROW()-1),IFERROR(LEFT(C163,FIND("@",SUBSTITUTE(C163,"/","@",LEN(C163)-LEN(SUBSTITUTE(C163,"/",""))))-1),"ROOT"))&gt;0,"OK","CHECK")))</f>
        <v/>
      </c>
      <c r="L163" s="26" t="str">
        <f t="shared" si="24"/>
        <v/>
      </c>
      <c r="M163" s="26" t="str">
        <f t="shared" si="25"/>
        <v/>
      </c>
      <c r="N163" s="26" t="str">
        <f t="shared" si="26"/>
        <v/>
      </c>
    </row>
    <row r="164" spans="1:14" ht="22" customHeight="1" x14ac:dyDescent="0.25">
      <c r="A164" s="27"/>
      <c r="B164" s="10"/>
      <c r="C164" s="10"/>
      <c r="D164" s="10"/>
      <c r="E164" s="34" t="str">
        <f t="shared" si="18"/>
        <v/>
      </c>
      <c r="F164" s="25" t="str">
        <f t="shared" si="19"/>
        <v/>
      </c>
      <c r="G164" s="25" t="str">
        <f t="shared" si="20"/>
        <v/>
      </c>
      <c r="H164" s="25" t="str">
        <f t="shared" si="21"/>
        <v/>
      </c>
      <c r="I164" s="25" t="str">
        <f t="shared" si="22"/>
        <v/>
      </c>
      <c r="J164" s="26" t="str">
        <f t="shared" si="23"/>
        <v/>
      </c>
      <c r="K164" s="26" t="str">
        <f>IF(C164="","",IF(LEN(C164)-LEN(SUBSTITUTE(C164,"/",""))+1=1,"TOP",IF(COUNTIF($C$4:INDEX($C:$C,ROW()-1),IFERROR(LEFT(C164,FIND("@",SUBSTITUTE(C164,"/","@",LEN(C164)-LEN(SUBSTITUTE(C164,"/",""))))-1),"ROOT"))&gt;0,"OK","CHECK")))</f>
        <v/>
      </c>
      <c r="L164" s="26" t="str">
        <f t="shared" si="24"/>
        <v/>
      </c>
      <c r="M164" s="26" t="str">
        <f t="shared" si="25"/>
        <v/>
      </c>
      <c r="N164" s="26" t="str">
        <f t="shared" si="26"/>
        <v/>
      </c>
    </row>
    <row r="165" spans="1:14" ht="22" customHeight="1" x14ac:dyDescent="0.25">
      <c r="A165" s="27"/>
      <c r="B165" s="10"/>
      <c r="C165" s="10"/>
      <c r="D165" s="10"/>
      <c r="E165" s="34" t="str">
        <f t="shared" si="18"/>
        <v/>
      </c>
      <c r="F165" s="25" t="str">
        <f t="shared" si="19"/>
        <v/>
      </c>
      <c r="G165" s="25" t="str">
        <f t="shared" si="20"/>
        <v/>
      </c>
      <c r="H165" s="25" t="str">
        <f t="shared" si="21"/>
        <v/>
      </c>
      <c r="I165" s="25" t="str">
        <f t="shared" si="22"/>
        <v/>
      </c>
      <c r="J165" s="26" t="str">
        <f t="shared" si="23"/>
        <v/>
      </c>
      <c r="K165" s="26" t="str">
        <f>IF(C165="","",IF(LEN(C165)-LEN(SUBSTITUTE(C165,"/",""))+1=1,"TOP",IF(COUNTIF($C$4:INDEX($C:$C,ROW()-1),IFERROR(LEFT(C165,FIND("@",SUBSTITUTE(C165,"/","@",LEN(C165)-LEN(SUBSTITUTE(C165,"/",""))))-1),"ROOT"))&gt;0,"OK","CHECK")))</f>
        <v/>
      </c>
      <c r="L165" s="26" t="str">
        <f t="shared" si="24"/>
        <v/>
      </c>
      <c r="M165" s="26" t="str">
        <f t="shared" si="25"/>
        <v/>
      </c>
      <c r="N165" s="26" t="str">
        <f t="shared" si="26"/>
        <v/>
      </c>
    </row>
    <row r="166" spans="1:14" ht="22" customHeight="1" x14ac:dyDescent="0.25">
      <c r="A166" s="27"/>
      <c r="B166" s="10"/>
      <c r="C166" s="10"/>
      <c r="D166" s="10"/>
      <c r="E166" s="34" t="str">
        <f t="shared" si="18"/>
        <v/>
      </c>
      <c r="F166" s="25" t="str">
        <f t="shared" si="19"/>
        <v/>
      </c>
      <c r="G166" s="25" t="str">
        <f t="shared" si="20"/>
        <v/>
      </c>
      <c r="H166" s="25" t="str">
        <f t="shared" si="21"/>
        <v/>
      </c>
      <c r="I166" s="25" t="str">
        <f t="shared" si="22"/>
        <v/>
      </c>
      <c r="J166" s="26" t="str">
        <f t="shared" si="23"/>
        <v/>
      </c>
      <c r="K166" s="26" t="str">
        <f>IF(C166="","",IF(LEN(C166)-LEN(SUBSTITUTE(C166,"/",""))+1=1,"TOP",IF(COUNTIF($C$4:INDEX($C:$C,ROW()-1),IFERROR(LEFT(C166,FIND("@",SUBSTITUTE(C166,"/","@",LEN(C166)-LEN(SUBSTITUTE(C166,"/",""))))-1),"ROOT"))&gt;0,"OK","CHECK")))</f>
        <v/>
      </c>
      <c r="L166" s="26" t="str">
        <f t="shared" si="24"/>
        <v/>
      </c>
      <c r="M166" s="26" t="str">
        <f t="shared" si="25"/>
        <v/>
      </c>
      <c r="N166" s="26" t="str">
        <f t="shared" si="26"/>
        <v/>
      </c>
    </row>
    <row r="167" spans="1:14" ht="22" customHeight="1" x14ac:dyDescent="0.25">
      <c r="A167" s="27"/>
      <c r="B167" s="10"/>
      <c r="C167" s="10"/>
      <c r="D167" s="10"/>
      <c r="E167" s="34" t="str">
        <f t="shared" si="18"/>
        <v/>
      </c>
      <c r="F167" s="25" t="str">
        <f t="shared" si="19"/>
        <v/>
      </c>
      <c r="G167" s="25" t="str">
        <f t="shared" si="20"/>
        <v/>
      </c>
      <c r="H167" s="25" t="str">
        <f t="shared" si="21"/>
        <v/>
      </c>
      <c r="I167" s="25" t="str">
        <f t="shared" si="22"/>
        <v/>
      </c>
      <c r="J167" s="26" t="str">
        <f t="shared" si="23"/>
        <v/>
      </c>
      <c r="K167" s="26" t="str">
        <f>IF(C167="","",IF(LEN(C167)-LEN(SUBSTITUTE(C167,"/",""))+1=1,"TOP",IF(COUNTIF($C$4:INDEX($C:$C,ROW()-1),IFERROR(LEFT(C167,FIND("@",SUBSTITUTE(C167,"/","@",LEN(C167)-LEN(SUBSTITUTE(C167,"/",""))))-1),"ROOT"))&gt;0,"OK","CHECK")))</f>
        <v/>
      </c>
      <c r="L167" s="26" t="str">
        <f t="shared" si="24"/>
        <v/>
      </c>
      <c r="M167" s="26" t="str">
        <f t="shared" si="25"/>
        <v/>
      </c>
      <c r="N167" s="26" t="str">
        <f t="shared" si="26"/>
        <v/>
      </c>
    </row>
    <row r="168" spans="1:14" ht="22" customHeight="1" x14ac:dyDescent="0.25">
      <c r="A168" s="27"/>
      <c r="B168" s="10"/>
      <c r="C168" s="10"/>
      <c r="D168" s="10"/>
      <c r="E168" s="34" t="str">
        <f t="shared" si="18"/>
        <v/>
      </c>
      <c r="F168" s="25" t="str">
        <f t="shared" si="19"/>
        <v/>
      </c>
      <c r="G168" s="25" t="str">
        <f t="shared" si="20"/>
        <v/>
      </c>
      <c r="H168" s="25" t="str">
        <f t="shared" si="21"/>
        <v/>
      </c>
      <c r="I168" s="25" t="str">
        <f t="shared" si="22"/>
        <v/>
      </c>
      <c r="J168" s="26" t="str">
        <f t="shared" si="23"/>
        <v/>
      </c>
      <c r="K168" s="26" t="str">
        <f>IF(C168="","",IF(LEN(C168)-LEN(SUBSTITUTE(C168,"/",""))+1=1,"TOP",IF(COUNTIF($C$4:INDEX($C:$C,ROW()-1),IFERROR(LEFT(C168,FIND("@",SUBSTITUTE(C168,"/","@",LEN(C168)-LEN(SUBSTITUTE(C168,"/",""))))-1),"ROOT"))&gt;0,"OK","CHECK")))</f>
        <v/>
      </c>
      <c r="L168" s="26" t="str">
        <f t="shared" si="24"/>
        <v/>
      </c>
      <c r="M168" s="26" t="str">
        <f t="shared" si="25"/>
        <v/>
      </c>
      <c r="N168" s="26" t="str">
        <f t="shared" si="26"/>
        <v/>
      </c>
    </row>
    <row r="169" spans="1:14" ht="22" customHeight="1" x14ac:dyDescent="0.25">
      <c r="A169" s="27"/>
      <c r="B169" s="10"/>
      <c r="C169" s="10"/>
      <c r="D169" s="10"/>
      <c r="E169" s="34" t="str">
        <f t="shared" si="18"/>
        <v/>
      </c>
      <c r="F169" s="25" t="str">
        <f t="shared" si="19"/>
        <v/>
      </c>
      <c r="G169" s="25" t="str">
        <f t="shared" si="20"/>
        <v/>
      </c>
      <c r="H169" s="25" t="str">
        <f t="shared" si="21"/>
        <v/>
      </c>
      <c r="I169" s="25" t="str">
        <f t="shared" si="22"/>
        <v/>
      </c>
      <c r="J169" s="26" t="str">
        <f t="shared" si="23"/>
        <v/>
      </c>
      <c r="K169" s="26" t="str">
        <f>IF(C169="","",IF(LEN(C169)-LEN(SUBSTITUTE(C169,"/",""))+1=1,"TOP",IF(COUNTIF($C$4:INDEX($C:$C,ROW()-1),IFERROR(LEFT(C169,FIND("@",SUBSTITUTE(C169,"/","@",LEN(C169)-LEN(SUBSTITUTE(C169,"/",""))))-1),"ROOT"))&gt;0,"OK","CHECK")))</f>
        <v/>
      </c>
      <c r="L169" s="26" t="str">
        <f t="shared" si="24"/>
        <v/>
      </c>
      <c r="M169" s="26" t="str">
        <f t="shared" si="25"/>
        <v/>
      </c>
      <c r="N169" s="26" t="str">
        <f t="shared" si="26"/>
        <v/>
      </c>
    </row>
    <row r="170" spans="1:14" ht="22" customHeight="1" x14ac:dyDescent="0.25">
      <c r="A170" s="27"/>
      <c r="B170" s="10"/>
      <c r="C170" s="10"/>
      <c r="D170" s="10"/>
      <c r="E170" s="34" t="str">
        <f t="shared" si="18"/>
        <v/>
      </c>
      <c r="F170" s="25" t="str">
        <f t="shared" si="19"/>
        <v/>
      </c>
      <c r="G170" s="25" t="str">
        <f t="shared" si="20"/>
        <v/>
      </c>
      <c r="H170" s="25" t="str">
        <f t="shared" si="21"/>
        <v/>
      </c>
      <c r="I170" s="25" t="str">
        <f t="shared" si="22"/>
        <v/>
      </c>
      <c r="J170" s="26" t="str">
        <f t="shared" si="23"/>
        <v/>
      </c>
      <c r="K170" s="26" t="str">
        <f>IF(C170="","",IF(LEN(C170)-LEN(SUBSTITUTE(C170,"/",""))+1=1,"TOP",IF(COUNTIF($C$4:INDEX($C:$C,ROW()-1),IFERROR(LEFT(C170,FIND("@",SUBSTITUTE(C170,"/","@",LEN(C170)-LEN(SUBSTITUTE(C170,"/",""))))-1),"ROOT"))&gt;0,"OK","CHECK")))</f>
        <v/>
      </c>
      <c r="L170" s="26" t="str">
        <f t="shared" si="24"/>
        <v/>
      </c>
      <c r="M170" s="26" t="str">
        <f t="shared" si="25"/>
        <v/>
      </c>
      <c r="N170" s="26" t="str">
        <f t="shared" si="26"/>
        <v/>
      </c>
    </row>
    <row r="171" spans="1:14" ht="22" customHeight="1" x14ac:dyDescent="0.25">
      <c r="A171" s="27"/>
      <c r="B171" s="10"/>
      <c r="C171" s="10"/>
      <c r="D171" s="10"/>
      <c r="E171" s="34" t="str">
        <f t="shared" si="18"/>
        <v/>
      </c>
      <c r="F171" s="25" t="str">
        <f t="shared" si="19"/>
        <v/>
      </c>
      <c r="G171" s="25" t="str">
        <f t="shared" si="20"/>
        <v/>
      </c>
      <c r="H171" s="25" t="str">
        <f t="shared" si="21"/>
        <v/>
      </c>
      <c r="I171" s="25" t="str">
        <f t="shared" si="22"/>
        <v/>
      </c>
      <c r="J171" s="26" t="str">
        <f t="shared" si="23"/>
        <v/>
      </c>
      <c r="K171" s="26" t="str">
        <f>IF(C171="","",IF(LEN(C171)-LEN(SUBSTITUTE(C171,"/",""))+1=1,"TOP",IF(COUNTIF($C$4:INDEX($C:$C,ROW()-1),IFERROR(LEFT(C171,FIND("@",SUBSTITUTE(C171,"/","@",LEN(C171)-LEN(SUBSTITUTE(C171,"/",""))))-1),"ROOT"))&gt;0,"OK","CHECK")))</f>
        <v/>
      </c>
      <c r="L171" s="26" t="str">
        <f t="shared" si="24"/>
        <v/>
      </c>
      <c r="M171" s="26" t="str">
        <f t="shared" si="25"/>
        <v/>
      </c>
      <c r="N171" s="26" t="str">
        <f t="shared" si="26"/>
        <v/>
      </c>
    </row>
    <row r="172" spans="1:14" ht="22" customHeight="1" x14ac:dyDescent="0.25">
      <c r="A172" s="27"/>
      <c r="B172" s="10"/>
      <c r="C172" s="10"/>
      <c r="D172" s="10"/>
      <c r="E172" s="34" t="str">
        <f t="shared" si="18"/>
        <v/>
      </c>
      <c r="F172" s="25" t="str">
        <f t="shared" si="19"/>
        <v/>
      </c>
      <c r="G172" s="25" t="str">
        <f t="shared" si="20"/>
        <v/>
      </c>
      <c r="H172" s="25" t="str">
        <f t="shared" si="21"/>
        <v/>
      </c>
      <c r="I172" s="25" t="str">
        <f t="shared" si="22"/>
        <v/>
      </c>
      <c r="J172" s="26" t="str">
        <f t="shared" si="23"/>
        <v/>
      </c>
      <c r="K172" s="26" t="str">
        <f>IF(C172="","",IF(LEN(C172)-LEN(SUBSTITUTE(C172,"/",""))+1=1,"TOP",IF(COUNTIF($C$4:INDEX($C:$C,ROW()-1),IFERROR(LEFT(C172,FIND("@",SUBSTITUTE(C172,"/","@",LEN(C172)-LEN(SUBSTITUTE(C172,"/",""))))-1),"ROOT"))&gt;0,"OK","CHECK")))</f>
        <v/>
      </c>
      <c r="L172" s="26" t="str">
        <f t="shared" si="24"/>
        <v/>
      </c>
      <c r="M172" s="26" t="str">
        <f t="shared" si="25"/>
        <v/>
      </c>
      <c r="N172" s="26" t="str">
        <f t="shared" si="26"/>
        <v/>
      </c>
    </row>
    <row r="173" spans="1:14" ht="22" customHeight="1" x14ac:dyDescent="0.25">
      <c r="A173" s="27"/>
      <c r="B173" s="10"/>
      <c r="C173" s="10"/>
      <c r="D173" s="10"/>
      <c r="E173" s="34" t="str">
        <f t="shared" si="18"/>
        <v/>
      </c>
      <c r="F173" s="25" t="str">
        <f t="shared" si="19"/>
        <v/>
      </c>
      <c r="G173" s="25" t="str">
        <f t="shared" si="20"/>
        <v/>
      </c>
      <c r="H173" s="25" t="str">
        <f t="shared" si="21"/>
        <v/>
      </c>
      <c r="I173" s="25" t="str">
        <f t="shared" si="22"/>
        <v/>
      </c>
      <c r="J173" s="26" t="str">
        <f t="shared" si="23"/>
        <v/>
      </c>
      <c r="K173" s="26" t="str">
        <f>IF(C173="","",IF(LEN(C173)-LEN(SUBSTITUTE(C173,"/",""))+1=1,"TOP",IF(COUNTIF($C$4:INDEX($C:$C,ROW()-1),IFERROR(LEFT(C173,FIND("@",SUBSTITUTE(C173,"/","@",LEN(C173)-LEN(SUBSTITUTE(C173,"/",""))))-1),"ROOT"))&gt;0,"OK","CHECK")))</f>
        <v/>
      </c>
      <c r="L173" s="26" t="str">
        <f t="shared" si="24"/>
        <v/>
      </c>
      <c r="M173" s="26" t="str">
        <f t="shared" si="25"/>
        <v/>
      </c>
      <c r="N173" s="26" t="str">
        <f t="shared" si="26"/>
        <v/>
      </c>
    </row>
    <row r="174" spans="1:14" ht="22" customHeight="1" x14ac:dyDescent="0.25">
      <c r="A174" s="27"/>
      <c r="B174" s="10"/>
      <c r="C174" s="10"/>
      <c r="D174" s="10"/>
      <c r="E174" s="34" t="str">
        <f t="shared" si="18"/>
        <v/>
      </c>
      <c r="F174" s="25" t="str">
        <f t="shared" si="19"/>
        <v/>
      </c>
      <c r="G174" s="25" t="str">
        <f t="shared" si="20"/>
        <v/>
      </c>
      <c r="H174" s="25" t="str">
        <f t="shared" si="21"/>
        <v/>
      </c>
      <c r="I174" s="25" t="str">
        <f t="shared" si="22"/>
        <v/>
      </c>
      <c r="J174" s="26" t="str">
        <f t="shared" si="23"/>
        <v/>
      </c>
      <c r="K174" s="26" t="str">
        <f>IF(C174="","",IF(LEN(C174)-LEN(SUBSTITUTE(C174,"/",""))+1=1,"TOP",IF(COUNTIF($C$4:INDEX($C:$C,ROW()-1),IFERROR(LEFT(C174,FIND("@",SUBSTITUTE(C174,"/","@",LEN(C174)-LEN(SUBSTITUTE(C174,"/",""))))-1),"ROOT"))&gt;0,"OK","CHECK")))</f>
        <v/>
      </c>
      <c r="L174" s="26" t="str">
        <f t="shared" si="24"/>
        <v/>
      </c>
      <c r="M174" s="26" t="str">
        <f t="shared" si="25"/>
        <v/>
      </c>
      <c r="N174" s="26" t="str">
        <f t="shared" si="26"/>
        <v/>
      </c>
    </row>
    <row r="175" spans="1:14" ht="22" customHeight="1" x14ac:dyDescent="0.25">
      <c r="A175" s="27"/>
      <c r="B175" s="10"/>
      <c r="C175" s="10"/>
      <c r="D175" s="10"/>
      <c r="E175" s="34" t="str">
        <f t="shared" si="18"/>
        <v/>
      </c>
      <c r="F175" s="25" t="str">
        <f t="shared" si="19"/>
        <v/>
      </c>
      <c r="G175" s="25" t="str">
        <f t="shared" si="20"/>
        <v/>
      </c>
      <c r="H175" s="25" t="str">
        <f t="shared" si="21"/>
        <v/>
      </c>
      <c r="I175" s="25" t="str">
        <f t="shared" si="22"/>
        <v/>
      </c>
      <c r="J175" s="26" t="str">
        <f t="shared" si="23"/>
        <v/>
      </c>
      <c r="K175" s="26" t="str">
        <f>IF(C175="","",IF(LEN(C175)-LEN(SUBSTITUTE(C175,"/",""))+1=1,"TOP",IF(COUNTIF($C$4:INDEX($C:$C,ROW()-1),IFERROR(LEFT(C175,FIND("@",SUBSTITUTE(C175,"/","@",LEN(C175)-LEN(SUBSTITUTE(C175,"/",""))))-1),"ROOT"))&gt;0,"OK","CHECK")))</f>
        <v/>
      </c>
      <c r="L175" s="26" t="str">
        <f t="shared" si="24"/>
        <v/>
      </c>
      <c r="M175" s="26" t="str">
        <f t="shared" si="25"/>
        <v/>
      </c>
      <c r="N175" s="26" t="str">
        <f t="shared" si="26"/>
        <v/>
      </c>
    </row>
    <row r="176" spans="1:14" ht="22" customHeight="1" x14ac:dyDescent="0.25">
      <c r="A176" s="27"/>
      <c r="B176" s="10"/>
      <c r="C176" s="10"/>
      <c r="D176" s="10"/>
      <c r="E176" s="34" t="str">
        <f t="shared" si="18"/>
        <v/>
      </c>
      <c r="F176" s="25" t="str">
        <f t="shared" si="19"/>
        <v/>
      </c>
      <c r="G176" s="25" t="str">
        <f t="shared" si="20"/>
        <v/>
      </c>
      <c r="H176" s="25" t="str">
        <f t="shared" si="21"/>
        <v/>
      </c>
      <c r="I176" s="25" t="str">
        <f t="shared" si="22"/>
        <v/>
      </c>
      <c r="J176" s="26" t="str">
        <f t="shared" si="23"/>
        <v/>
      </c>
      <c r="K176" s="26" t="str">
        <f>IF(C176="","",IF(LEN(C176)-LEN(SUBSTITUTE(C176,"/",""))+1=1,"TOP",IF(COUNTIF($C$4:INDEX($C:$C,ROW()-1),IFERROR(LEFT(C176,FIND("@",SUBSTITUTE(C176,"/","@",LEN(C176)-LEN(SUBSTITUTE(C176,"/",""))))-1),"ROOT"))&gt;0,"OK","CHECK")))</f>
        <v/>
      </c>
      <c r="L176" s="26" t="str">
        <f t="shared" si="24"/>
        <v/>
      </c>
      <c r="M176" s="26" t="str">
        <f t="shared" si="25"/>
        <v/>
      </c>
      <c r="N176" s="26" t="str">
        <f t="shared" si="26"/>
        <v/>
      </c>
    </row>
    <row r="177" spans="1:14" ht="22" customHeight="1" x14ac:dyDescent="0.25">
      <c r="A177" s="27"/>
      <c r="B177" s="10"/>
      <c r="C177" s="10"/>
      <c r="D177" s="10"/>
      <c r="E177" s="34" t="str">
        <f t="shared" si="18"/>
        <v/>
      </c>
      <c r="F177" s="25" t="str">
        <f t="shared" si="19"/>
        <v/>
      </c>
      <c r="G177" s="25" t="str">
        <f t="shared" si="20"/>
        <v/>
      </c>
      <c r="H177" s="25" t="str">
        <f t="shared" si="21"/>
        <v/>
      </c>
      <c r="I177" s="25" t="str">
        <f t="shared" si="22"/>
        <v/>
      </c>
      <c r="J177" s="26" t="str">
        <f t="shared" si="23"/>
        <v/>
      </c>
      <c r="K177" s="26" t="str">
        <f>IF(C177="","",IF(LEN(C177)-LEN(SUBSTITUTE(C177,"/",""))+1=1,"TOP",IF(COUNTIF($C$4:INDEX($C:$C,ROW()-1),IFERROR(LEFT(C177,FIND("@",SUBSTITUTE(C177,"/","@",LEN(C177)-LEN(SUBSTITUTE(C177,"/",""))))-1),"ROOT"))&gt;0,"OK","CHECK")))</f>
        <v/>
      </c>
      <c r="L177" s="26" t="str">
        <f t="shared" si="24"/>
        <v/>
      </c>
      <c r="M177" s="26" t="str">
        <f t="shared" si="25"/>
        <v/>
      </c>
      <c r="N177" s="26" t="str">
        <f t="shared" si="26"/>
        <v/>
      </c>
    </row>
    <row r="178" spans="1:14" ht="22" customHeight="1" x14ac:dyDescent="0.25">
      <c r="A178" s="27"/>
      <c r="B178" s="10"/>
      <c r="C178" s="10"/>
      <c r="D178" s="10"/>
      <c r="E178" s="34" t="str">
        <f t="shared" si="18"/>
        <v/>
      </c>
      <c r="F178" s="25" t="str">
        <f t="shared" si="19"/>
        <v/>
      </c>
      <c r="G178" s="25" t="str">
        <f t="shared" si="20"/>
        <v/>
      </c>
      <c r="H178" s="25" t="str">
        <f t="shared" si="21"/>
        <v/>
      </c>
      <c r="I178" s="25" t="str">
        <f t="shared" si="22"/>
        <v/>
      </c>
      <c r="J178" s="26" t="str">
        <f t="shared" si="23"/>
        <v/>
      </c>
      <c r="K178" s="26" t="str">
        <f>IF(C178="","",IF(LEN(C178)-LEN(SUBSTITUTE(C178,"/",""))+1=1,"TOP",IF(COUNTIF($C$4:INDEX($C:$C,ROW()-1),IFERROR(LEFT(C178,FIND("@",SUBSTITUTE(C178,"/","@",LEN(C178)-LEN(SUBSTITUTE(C178,"/",""))))-1),"ROOT"))&gt;0,"OK","CHECK")))</f>
        <v/>
      </c>
      <c r="L178" s="26" t="str">
        <f t="shared" si="24"/>
        <v/>
      </c>
      <c r="M178" s="26" t="str">
        <f t="shared" si="25"/>
        <v/>
      </c>
      <c r="N178" s="26" t="str">
        <f t="shared" si="26"/>
        <v/>
      </c>
    </row>
    <row r="179" spans="1:14" ht="22" customHeight="1" x14ac:dyDescent="0.25">
      <c r="A179" s="27"/>
      <c r="B179" s="10"/>
      <c r="C179" s="10"/>
      <c r="D179" s="10"/>
      <c r="E179" s="34" t="str">
        <f t="shared" si="18"/>
        <v/>
      </c>
      <c r="F179" s="25" t="str">
        <f t="shared" si="19"/>
        <v/>
      </c>
      <c r="G179" s="25" t="str">
        <f t="shared" si="20"/>
        <v/>
      </c>
      <c r="H179" s="25" t="str">
        <f t="shared" si="21"/>
        <v/>
      </c>
      <c r="I179" s="25" t="str">
        <f t="shared" si="22"/>
        <v/>
      </c>
      <c r="J179" s="26" t="str">
        <f t="shared" si="23"/>
        <v/>
      </c>
      <c r="K179" s="26" t="str">
        <f>IF(C179="","",IF(LEN(C179)-LEN(SUBSTITUTE(C179,"/",""))+1=1,"TOP",IF(COUNTIF($C$4:INDEX($C:$C,ROW()-1),IFERROR(LEFT(C179,FIND("@",SUBSTITUTE(C179,"/","@",LEN(C179)-LEN(SUBSTITUTE(C179,"/",""))))-1),"ROOT"))&gt;0,"OK","CHECK")))</f>
        <v/>
      </c>
      <c r="L179" s="26" t="str">
        <f t="shared" si="24"/>
        <v/>
      </c>
      <c r="M179" s="26" t="str">
        <f t="shared" si="25"/>
        <v/>
      </c>
      <c r="N179" s="26" t="str">
        <f t="shared" si="26"/>
        <v/>
      </c>
    </row>
    <row r="180" spans="1:14" ht="22" customHeight="1" x14ac:dyDescent="0.25">
      <c r="A180" s="27"/>
      <c r="B180" s="10"/>
      <c r="C180" s="10"/>
      <c r="D180" s="10"/>
      <c r="E180" s="34" t="str">
        <f t="shared" si="18"/>
        <v/>
      </c>
      <c r="F180" s="25" t="str">
        <f t="shared" si="19"/>
        <v/>
      </c>
      <c r="G180" s="25" t="str">
        <f t="shared" si="20"/>
        <v/>
      </c>
      <c r="H180" s="25" t="str">
        <f t="shared" si="21"/>
        <v/>
      </c>
      <c r="I180" s="25" t="str">
        <f t="shared" si="22"/>
        <v/>
      </c>
      <c r="J180" s="26" t="str">
        <f t="shared" si="23"/>
        <v/>
      </c>
      <c r="K180" s="26" t="str">
        <f>IF(C180="","",IF(LEN(C180)-LEN(SUBSTITUTE(C180,"/",""))+1=1,"TOP",IF(COUNTIF($C$4:INDEX($C:$C,ROW()-1),IFERROR(LEFT(C180,FIND("@",SUBSTITUTE(C180,"/","@",LEN(C180)-LEN(SUBSTITUTE(C180,"/",""))))-1),"ROOT"))&gt;0,"OK","CHECK")))</f>
        <v/>
      </c>
      <c r="L180" s="26" t="str">
        <f t="shared" si="24"/>
        <v/>
      </c>
      <c r="M180" s="26" t="str">
        <f t="shared" si="25"/>
        <v/>
      </c>
      <c r="N180" s="26" t="str">
        <f t="shared" si="26"/>
        <v/>
      </c>
    </row>
    <row r="181" spans="1:14" ht="22" customHeight="1" x14ac:dyDescent="0.25">
      <c r="A181" s="27"/>
      <c r="B181" s="10"/>
      <c r="C181" s="10"/>
      <c r="D181" s="10"/>
      <c r="E181" s="34" t="str">
        <f t="shared" si="18"/>
        <v/>
      </c>
      <c r="F181" s="25" t="str">
        <f t="shared" si="19"/>
        <v/>
      </c>
      <c r="G181" s="25" t="str">
        <f t="shared" si="20"/>
        <v/>
      </c>
      <c r="H181" s="25" t="str">
        <f t="shared" si="21"/>
        <v/>
      </c>
      <c r="I181" s="25" t="str">
        <f t="shared" si="22"/>
        <v/>
      </c>
      <c r="J181" s="26" t="str">
        <f t="shared" si="23"/>
        <v/>
      </c>
      <c r="K181" s="26" t="str">
        <f>IF(C181="","",IF(LEN(C181)-LEN(SUBSTITUTE(C181,"/",""))+1=1,"TOP",IF(COUNTIF($C$4:INDEX($C:$C,ROW()-1),IFERROR(LEFT(C181,FIND("@",SUBSTITUTE(C181,"/","@",LEN(C181)-LEN(SUBSTITUTE(C181,"/",""))))-1),"ROOT"))&gt;0,"OK","CHECK")))</f>
        <v/>
      </c>
      <c r="L181" s="26" t="str">
        <f t="shared" si="24"/>
        <v/>
      </c>
      <c r="M181" s="26" t="str">
        <f t="shared" si="25"/>
        <v/>
      </c>
      <c r="N181" s="26" t="str">
        <f t="shared" si="26"/>
        <v/>
      </c>
    </row>
    <row r="182" spans="1:14" ht="22" customHeight="1" x14ac:dyDescent="0.25">
      <c r="A182" s="27"/>
      <c r="B182" s="10"/>
      <c r="C182" s="10"/>
      <c r="D182" s="10"/>
      <c r="E182" s="34" t="str">
        <f t="shared" si="18"/>
        <v/>
      </c>
      <c r="F182" s="25" t="str">
        <f t="shared" si="19"/>
        <v/>
      </c>
      <c r="G182" s="25" t="str">
        <f t="shared" si="20"/>
        <v/>
      </c>
      <c r="H182" s="25" t="str">
        <f t="shared" si="21"/>
        <v/>
      </c>
      <c r="I182" s="25" t="str">
        <f t="shared" si="22"/>
        <v/>
      </c>
      <c r="J182" s="26" t="str">
        <f t="shared" si="23"/>
        <v/>
      </c>
      <c r="K182" s="26" t="str">
        <f>IF(C182="","",IF(LEN(C182)-LEN(SUBSTITUTE(C182,"/",""))+1=1,"TOP",IF(COUNTIF($C$4:INDEX($C:$C,ROW()-1),IFERROR(LEFT(C182,FIND("@",SUBSTITUTE(C182,"/","@",LEN(C182)-LEN(SUBSTITUTE(C182,"/",""))))-1),"ROOT"))&gt;0,"OK","CHECK")))</f>
        <v/>
      </c>
      <c r="L182" s="26" t="str">
        <f t="shared" si="24"/>
        <v/>
      </c>
      <c r="M182" s="26" t="str">
        <f t="shared" si="25"/>
        <v/>
      </c>
      <c r="N182" s="26" t="str">
        <f t="shared" si="26"/>
        <v/>
      </c>
    </row>
    <row r="183" spans="1:14" ht="22" customHeight="1" x14ac:dyDescent="0.25">
      <c r="A183" s="27"/>
      <c r="B183" s="10"/>
      <c r="C183" s="10"/>
      <c r="D183" s="10"/>
      <c r="E183" s="34" t="str">
        <f t="shared" si="18"/>
        <v/>
      </c>
      <c r="F183" s="25" t="str">
        <f t="shared" si="19"/>
        <v/>
      </c>
      <c r="G183" s="25" t="str">
        <f t="shared" si="20"/>
        <v/>
      </c>
      <c r="H183" s="25" t="str">
        <f t="shared" si="21"/>
        <v/>
      </c>
      <c r="I183" s="25" t="str">
        <f t="shared" si="22"/>
        <v/>
      </c>
      <c r="J183" s="26" t="str">
        <f t="shared" si="23"/>
        <v/>
      </c>
      <c r="K183" s="26" t="str">
        <f>IF(C183="","",IF(LEN(C183)-LEN(SUBSTITUTE(C183,"/",""))+1=1,"TOP",IF(COUNTIF($C$4:INDEX($C:$C,ROW()-1),IFERROR(LEFT(C183,FIND("@",SUBSTITUTE(C183,"/","@",LEN(C183)-LEN(SUBSTITUTE(C183,"/",""))))-1),"ROOT"))&gt;0,"OK","CHECK")))</f>
        <v/>
      </c>
      <c r="L183" s="26" t="str">
        <f t="shared" si="24"/>
        <v/>
      </c>
      <c r="M183" s="26" t="str">
        <f t="shared" si="25"/>
        <v/>
      </c>
      <c r="N183" s="26" t="str">
        <f t="shared" si="26"/>
        <v/>
      </c>
    </row>
    <row r="184" spans="1:14" ht="22" customHeight="1" x14ac:dyDescent="0.25">
      <c r="A184" s="27"/>
      <c r="B184" s="10"/>
      <c r="C184" s="10"/>
      <c r="D184" s="10"/>
      <c r="E184" s="34" t="str">
        <f t="shared" si="18"/>
        <v/>
      </c>
      <c r="F184" s="25" t="str">
        <f t="shared" si="19"/>
        <v/>
      </c>
      <c r="G184" s="25" t="str">
        <f t="shared" si="20"/>
        <v/>
      </c>
      <c r="H184" s="25" t="str">
        <f t="shared" si="21"/>
        <v/>
      </c>
      <c r="I184" s="25" t="str">
        <f t="shared" si="22"/>
        <v/>
      </c>
      <c r="J184" s="26" t="str">
        <f t="shared" si="23"/>
        <v/>
      </c>
      <c r="K184" s="26" t="str">
        <f>IF(C184="","",IF(LEN(C184)-LEN(SUBSTITUTE(C184,"/",""))+1=1,"TOP",IF(COUNTIF($C$4:INDEX($C:$C,ROW()-1),IFERROR(LEFT(C184,FIND("@",SUBSTITUTE(C184,"/","@",LEN(C184)-LEN(SUBSTITUTE(C184,"/",""))))-1),"ROOT"))&gt;0,"OK","CHECK")))</f>
        <v/>
      </c>
      <c r="L184" s="26" t="str">
        <f t="shared" si="24"/>
        <v/>
      </c>
      <c r="M184" s="26" t="str">
        <f t="shared" si="25"/>
        <v/>
      </c>
      <c r="N184" s="26" t="str">
        <f t="shared" si="26"/>
        <v/>
      </c>
    </row>
    <row r="185" spans="1:14" ht="22" customHeight="1" x14ac:dyDescent="0.25">
      <c r="A185" s="27"/>
      <c r="B185" s="10"/>
      <c r="C185" s="10"/>
      <c r="D185" s="10"/>
      <c r="E185" s="34" t="str">
        <f t="shared" si="18"/>
        <v/>
      </c>
      <c r="F185" s="25" t="str">
        <f t="shared" si="19"/>
        <v/>
      </c>
      <c r="G185" s="25" t="str">
        <f t="shared" si="20"/>
        <v/>
      </c>
      <c r="H185" s="25" t="str">
        <f t="shared" si="21"/>
        <v/>
      </c>
      <c r="I185" s="25" t="str">
        <f t="shared" si="22"/>
        <v/>
      </c>
      <c r="J185" s="26" t="str">
        <f t="shared" si="23"/>
        <v/>
      </c>
      <c r="K185" s="26" t="str">
        <f>IF(C185="","",IF(LEN(C185)-LEN(SUBSTITUTE(C185,"/",""))+1=1,"TOP",IF(COUNTIF($C$4:INDEX($C:$C,ROW()-1),IFERROR(LEFT(C185,FIND("@",SUBSTITUTE(C185,"/","@",LEN(C185)-LEN(SUBSTITUTE(C185,"/",""))))-1),"ROOT"))&gt;0,"OK","CHECK")))</f>
        <v/>
      </c>
      <c r="L185" s="26" t="str">
        <f t="shared" si="24"/>
        <v/>
      </c>
      <c r="M185" s="26" t="str">
        <f t="shared" si="25"/>
        <v/>
      </c>
      <c r="N185" s="26" t="str">
        <f t="shared" si="26"/>
        <v/>
      </c>
    </row>
    <row r="186" spans="1:14" ht="22" customHeight="1" x14ac:dyDescent="0.25">
      <c r="A186" s="27"/>
      <c r="B186" s="10"/>
      <c r="C186" s="10"/>
      <c r="D186" s="10"/>
      <c r="E186" s="34" t="str">
        <f t="shared" si="18"/>
        <v/>
      </c>
      <c r="F186" s="25" t="str">
        <f t="shared" si="19"/>
        <v/>
      </c>
      <c r="G186" s="25" t="str">
        <f t="shared" si="20"/>
        <v/>
      </c>
      <c r="H186" s="25" t="str">
        <f t="shared" si="21"/>
        <v/>
      </c>
      <c r="I186" s="25" t="str">
        <f t="shared" si="22"/>
        <v/>
      </c>
      <c r="J186" s="26" t="str">
        <f t="shared" si="23"/>
        <v/>
      </c>
      <c r="K186" s="26" t="str">
        <f>IF(C186="","",IF(LEN(C186)-LEN(SUBSTITUTE(C186,"/",""))+1=1,"TOP",IF(COUNTIF($C$4:INDEX($C:$C,ROW()-1),IFERROR(LEFT(C186,FIND("@",SUBSTITUTE(C186,"/","@",LEN(C186)-LEN(SUBSTITUTE(C186,"/",""))))-1),"ROOT"))&gt;0,"OK","CHECK")))</f>
        <v/>
      </c>
      <c r="L186" s="26" t="str">
        <f t="shared" si="24"/>
        <v/>
      </c>
      <c r="M186" s="26" t="str">
        <f t="shared" si="25"/>
        <v/>
      </c>
      <c r="N186" s="26" t="str">
        <f t="shared" si="26"/>
        <v/>
      </c>
    </row>
    <row r="187" spans="1:14" ht="22" customHeight="1" x14ac:dyDescent="0.25">
      <c r="A187" s="27"/>
      <c r="B187" s="10"/>
      <c r="C187" s="10"/>
      <c r="D187" s="10"/>
      <c r="E187" s="34" t="str">
        <f t="shared" si="18"/>
        <v/>
      </c>
      <c r="F187" s="25" t="str">
        <f t="shared" si="19"/>
        <v/>
      </c>
      <c r="G187" s="25" t="str">
        <f t="shared" si="20"/>
        <v/>
      </c>
      <c r="H187" s="25" t="str">
        <f t="shared" si="21"/>
        <v/>
      </c>
      <c r="I187" s="25" t="str">
        <f t="shared" si="22"/>
        <v/>
      </c>
      <c r="J187" s="26" t="str">
        <f t="shared" si="23"/>
        <v/>
      </c>
      <c r="K187" s="26" t="str">
        <f>IF(C187="","",IF(LEN(C187)-LEN(SUBSTITUTE(C187,"/",""))+1=1,"TOP",IF(COUNTIF($C$4:INDEX($C:$C,ROW()-1),IFERROR(LEFT(C187,FIND("@",SUBSTITUTE(C187,"/","@",LEN(C187)-LEN(SUBSTITUTE(C187,"/",""))))-1),"ROOT"))&gt;0,"OK","CHECK")))</f>
        <v/>
      </c>
      <c r="L187" s="26" t="str">
        <f t="shared" si="24"/>
        <v/>
      </c>
      <c r="M187" s="26" t="str">
        <f t="shared" si="25"/>
        <v/>
      </c>
      <c r="N187" s="26" t="str">
        <f t="shared" si="26"/>
        <v/>
      </c>
    </row>
    <row r="188" spans="1:14" ht="22" customHeight="1" x14ac:dyDescent="0.25">
      <c r="A188" s="27"/>
      <c r="B188" s="10"/>
      <c r="C188" s="10"/>
      <c r="D188" s="10"/>
      <c r="E188" s="34" t="str">
        <f t="shared" si="18"/>
        <v/>
      </c>
      <c r="F188" s="25" t="str">
        <f t="shared" si="19"/>
        <v/>
      </c>
      <c r="G188" s="25" t="str">
        <f t="shared" si="20"/>
        <v/>
      </c>
      <c r="H188" s="25" t="str">
        <f t="shared" si="21"/>
        <v/>
      </c>
      <c r="I188" s="25" t="str">
        <f t="shared" si="22"/>
        <v/>
      </c>
      <c r="J188" s="26" t="str">
        <f t="shared" si="23"/>
        <v/>
      </c>
      <c r="K188" s="26" t="str">
        <f>IF(C188="","",IF(LEN(C188)-LEN(SUBSTITUTE(C188,"/",""))+1=1,"TOP",IF(COUNTIF($C$4:INDEX($C:$C,ROW()-1),IFERROR(LEFT(C188,FIND("@",SUBSTITUTE(C188,"/","@",LEN(C188)-LEN(SUBSTITUTE(C188,"/",""))))-1),"ROOT"))&gt;0,"OK","CHECK")))</f>
        <v/>
      </c>
      <c r="L188" s="26" t="str">
        <f t="shared" si="24"/>
        <v/>
      </c>
      <c r="M188" s="26" t="str">
        <f t="shared" si="25"/>
        <v/>
      </c>
      <c r="N188" s="26" t="str">
        <f t="shared" si="26"/>
        <v/>
      </c>
    </row>
    <row r="189" spans="1:14" ht="22" customHeight="1" x14ac:dyDescent="0.25">
      <c r="A189" s="27"/>
      <c r="B189" s="10"/>
      <c r="C189" s="10"/>
      <c r="D189" s="10"/>
      <c r="E189" s="34" t="str">
        <f t="shared" si="18"/>
        <v/>
      </c>
      <c r="F189" s="25" t="str">
        <f t="shared" si="19"/>
        <v/>
      </c>
      <c r="G189" s="25" t="str">
        <f t="shared" si="20"/>
        <v/>
      </c>
      <c r="H189" s="25" t="str">
        <f t="shared" si="21"/>
        <v/>
      </c>
      <c r="I189" s="25" t="str">
        <f t="shared" si="22"/>
        <v/>
      </c>
      <c r="J189" s="26" t="str">
        <f t="shared" si="23"/>
        <v/>
      </c>
      <c r="K189" s="26" t="str">
        <f>IF(C189="","",IF(LEN(C189)-LEN(SUBSTITUTE(C189,"/",""))+1=1,"TOP",IF(COUNTIF($C$4:INDEX($C:$C,ROW()-1),IFERROR(LEFT(C189,FIND("@",SUBSTITUTE(C189,"/","@",LEN(C189)-LEN(SUBSTITUTE(C189,"/",""))))-1),"ROOT"))&gt;0,"OK","CHECK")))</f>
        <v/>
      </c>
      <c r="L189" s="26" t="str">
        <f t="shared" si="24"/>
        <v/>
      </c>
      <c r="M189" s="26" t="str">
        <f t="shared" si="25"/>
        <v/>
      </c>
      <c r="N189" s="26" t="str">
        <f t="shared" si="26"/>
        <v/>
      </c>
    </row>
    <row r="190" spans="1:14" ht="22" customHeight="1" x14ac:dyDescent="0.25">
      <c r="A190" s="27"/>
      <c r="B190" s="10"/>
      <c r="C190" s="10"/>
      <c r="D190" s="10"/>
      <c r="E190" s="34" t="str">
        <f t="shared" si="18"/>
        <v/>
      </c>
      <c r="F190" s="25" t="str">
        <f t="shared" si="19"/>
        <v/>
      </c>
      <c r="G190" s="25" t="str">
        <f t="shared" si="20"/>
        <v/>
      </c>
      <c r="H190" s="25" t="str">
        <f t="shared" si="21"/>
        <v/>
      </c>
      <c r="I190" s="25" t="str">
        <f t="shared" si="22"/>
        <v/>
      </c>
      <c r="J190" s="26" t="str">
        <f t="shared" si="23"/>
        <v/>
      </c>
      <c r="K190" s="26" t="str">
        <f>IF(C190="","",IF(LEN(C190)-LEN(SUBSTITUTE(C190,"/",""))+1=1,"TOP",IF(COUNTIF($C$4:INDEX($C:$C,ROW()-1),IFERROR(LEFT(C190,FIND("@",SUBSTITUTE(C190,"/","@",LEN(C190)-LEN(SUBSTITUTE(C190,"/",""))))-1),"ROOT"))&gt;0,"OK","CHECK")))</f>
        <v/>
      </c>
      <c r="L190" s="26" t="str">
        <f t="shared" si="24"/>
        <v/>
      </c>
      <c r="M190" s="26" t="str">
        <f t="shared" si="25"/>
        <v/>
      </c>
      <c r="N190" s="26" t="str">
        <f t="shared" si="26"/>
        <v/>
      </c>
    </row>
    <row r="191" spans="1:14" ht="22" customHeight="1" x14ac:dyDescent="0.25">
      <c r="A191" s="27"/>
      <c r="B191" s="10"/>
      <c r="C191" s="10"/>
      <c r="D191" s="10"/>
      <c r="E191" s="34" t="str">
        <f t="shared" si="18"/>
        <v/>
      </c>
      <c r="F191" s="25" t="str">
        <f t="shared" si="19"/>
        <v/>
      </c>
      <c r="G191" s="25" t="str">
        <f t="shared" si="20"/>
        <v/>
      </c>
      <c r="H191" s="25" t="str">
        <f t="shared" si="21"/>
        <v/>
      </c>
      <c r="I191" s="25" t="str">
        <f t="shared" si="22"/>
        <v/>
      </c>
      <c r="J191" s="26" t="str">
        <f t="shared" si="23"/>
        <v/>
      </c>
      <c r="K191" s="26" t="str">
        <f>IF(C191="","",IF(LEN(C191)-LEN(SUBSTITUTE(C191,"/",""))+1=1,"TOP",IF(COUNTIF($C$4:INDEX($C:$C,ROW()-1),IFERROR(LEFT(C191,FIND("@",SUBSTITUTE(C191,"/","@",LEN(C191)-LEN(SUBSTITUTE(C191,"/",""))))-1),"ROOT"))&gt;0,"OK","CHECK")))</f>
        <v/>
      </c>
      <c r="L191" s="26" t="str">
        <f t="shared" si="24"/>
        <v/>
      </c>
      <c r="M191" s="26" t="str">
        <f t="shared" si="25"/>
        <v/>
      </c>
      <c r="N191" s="26" t="str">
        <f t="shared" si="26"/>
        <v/>
      </c>
    </row>
    <row r="192" spans="1:14" ht="22" customHeight="1" x14ac:dyDescent="0.25">
      <c r="A192" s="27"/>
      <c r="B192" s="10"/>
      <c r="C192" s="10"/>
      <c r="D192" s="10"/>
      <c r="E192" s="34" t="str">
        <f t="shared" si="18"/>
        <v/>
      </c>
      <c r="F192" s="25" t="str">
        <f t="shared" si="19"/>
        <v/>
      </c>
      <c r="G192" s="25" t="str">
        <f t="shared" si="20"/>
        <v/>
      </c>
      <c r="H192" s="25" t="str">
        <f t="shared" si="21"/>
        <v/>
      </c>
      <c r="I192" s="25" t="str">
        <f t="shared" si="22"/>
        <v/>
      </c>
      <c r="J192" s="26" t="str">
        <f t="shared" si="23"/>
        <v/>
      </c>
      <c r="K192" s="26" t="str">
        <f>IF(C192="","",IF(LEN(C192)-LEN(SUBSTITUTE(C192,"/",""))+1=1,"TOP",IF(COUNTIF($C$4:INDEX($C:$C,ROW()-1),IFERROR(LEFT(C192,FIND("@",SUBSTITUTE(C192,"/","@",LEN(C192)-LEN(SUBSTITUTE(C192,"/",""))))-1),"ROOT"))&gt;0,"OK","CHECK")))</f>
        <v/>
      </c>
      <c r="L192" s="26" t="str">
        <f t="shared" si="24"/>
        <v/>
      </c>
      <c r="M192" s="26" t="str">
        <f t="shared" si="25"/>
        <v/>
      </c>
      <c r="N192" s="26" t="str">
        <f t="shared" si="26"/>
        <v/>
      </c>
    </row>
    <row r="193" spans="1:14" ht="22" customHeight="1" x14ac:dyDescent="0.25">
      <c r="A193" s="27"/>
      <c r="B193" s="10"/>
      <c r="C193" s="10"/>
      <c r="D193" s="10"/>
      <c r="E193" s="34" t="str">
        <f t="shared" si="18"/>
        <v/>
      </c>
      <c r="F193" s="25" t="str">
        <f t="shared" si="19"/>
        <v/>
      </c>
      <c r="G193" s="25" t="str">
        <f t="shared" si="20"/>
        <v/>
      </c>
      <c r="H193" s="25" t="str">
        <f t="shared" si="21"/>
        <v/>
      </c>
      <c r="I193" s="25" t="str">
        <f t="shared" si="22"/>
        <v/>
      </c>
      <c r="J193" s="26" t="str">
        <f t="shared" si="23"/>
        <v/>
      </c>
      <c r="K193" s="26" t="str">
        <f>IF(C193="","",IF(LEN(C193)-LEN(SUBSTITUTE(C193,"/",""))+1=1,"TOP",IF(COUNTIF($C$4:INDEX($C:$C,ROW()-1),IFERROR(LEFT(C193,FIND("@",SUBSTITUTE(C193,"/","@",LEN(C193)-LEN(SUBSTITUTE(C193,"/",""))))-1),"ROOT"))&gt;0,"OK","CHECK")))</f>
        <v/>
      </c>
      <c r="L193" s="26" t="str">
        <f t="shared" si="24"/>
        <v/>
      </c>
      <c r="M193" s="26" t="str">
        <f t="shared" si="25"/>
        <v/>
      </c>
      <c r="N193" s="26" t="str">
        <f t="shared" si="26"/>
        <v/>
      </c>
    </row>
    <row r="194" spans="1:14" ht="22" customHeight="1" x14ac:dyDescent="0.25">
      <c r="A194" s="27"/>
      <c r="B194" s="10"/>
      <c r="C194" s="10"/>
      <c r="D194" s="10"/>
      <c r="E194" s="34" t="str">
        <f t="shared" si="18"/>
        <v/>
      </c>
      <c r="F194" s="25" t="str">
        <f t="shared" si="19"/>
        <v/>
      </c>
      <c r="G194" s="25" t="str">
        <f t="shared" si="20"/>
        <v/>
      </c>
      <c r="H194" s="25" t="str">
        <f t="shared" si="21"/>
        <v/>
      </c>
      <c r="I194" s="25" t="str">
        <f t="shared" si="22"/>
        <v/>
      </c>
      <c r="J194" s="26" t="str">
        <f t="shared" si="23"/>
        <v/>
      </c>
      <c r="K194" s="26" t="str">
        <f>IF(C194="","",IF(LEN(C194)-LEN(SUBSTITUTE(C194,"/",""))+1=1,"TOP",IF(COUNTIF($C$4:INDEX($C:$C,ROW()-1),IFERROR(LEFT(C194,FIND("@",SUBSTITUTE(C194,"/","@",LEN(C194)-LEN(SUBSTITUTE(C194,"/",""))))-1),"ROOT"))&gt;0,"OK","CHECK")))</f>
        <v/>
      </c>
      <c r="L194" s="26" t="str">
        <f t="shared" si="24"/>
        <v/>
      </c>
      <c r="M194" s="26" t="str">
        <f t="shared" si="25"/>
        <v/>
      </c>
      <c r="N194" s="26" t="str">
        <f t="shared" si="26"/>
        <v/>
      </c>
    </row>
    <row r="195" spans="1:14" ht="22" customHeight="1" x14ac:dyDescent="0.25">
      <c r="A195" s="27"/>
      <c r="B195" s="10"/>
      <c r="C195" s="10"/>
      <c r="D195" s="10"/>
      <c r="E195" s="34" t="str">
        <f t="shared" si="18"/>
        <v/>
      </c>
      <c r="F195" s="25" t="str">
        <f t="shared" si="19"/>
        <v/>
      </c>
      <c r="G195" s="25" t="str">
        <f t="shared" si="20"/>
        <v/>
      </c>
      <c r="H195" s="25" t="str">
        <f t="shared" si="21"/>
        <v/>
      </c>
      <c r="I195" s="25" t="str">
        <f t="shared" si="22"/>
        <v/>
      </c>
      <c r="J195" s="26" t="str">
        <f t="shared" si="23"/>
        <v/>
      </c>
      <c r="K195" s="26" t="str">
        <f>IF(C195="","",IF(LEN(C195)-LEN(SUBSTITUTE(C195,"/",""))+1=1,"TOP",IF(COUNTIF($C$4:INDEX($C:$C,ROW()-1),IFERROR(LEFT(C195,FIND("@",SUBSTITUTE(C195,"/","@",LEN(C195)-LEN(SUBSTITUTE(C195,"/",""))))-1),"ROOT"))&gt;0,"OK","CHECK")))</f>
        <v/>
      </c>
      <c r="L195" s="26" t="str">
        <f t="shared" si="24"/>
        <v/>
      </c>
      <c r="M195" s="26" t="str">
        <f t="shared" si="25"/>
        <v/>
      </c>
      <c r="N195" s="26" t="str">
        <f t="shared" si="26"/>
        <v/>
      </c>
    </row>
    <row r="196" spans="1:14" ht="22" customHeight="1" x14ac:dyDescent="0.25">
      <c r="A196" s="27"/>
      <c r="B196" s="10"/>
      <c r="C196" s="10"/>
      <c r="D196" s="10"/>
      <c r="E196" s="34" t="str">
        <f t="shared" ref="E196:E259" si="27">IF(D196="","",REPT("    ",MAX(F196-1,0))&amp;"|- "&amp;D196)</f>
        <v/>
      </c>
      <c r="F196" s="25" t="str">
        <f t="shared" ref="F196:F260" si="28">IF(C196="","",LEN(C196)-LEN(SUBSTITUTE(C196,"/",""))+1)</f>
        <v/>
      </c>
      <c r="G196" s="25" t="str">
        <f t="shared" ref="G196:G260" si="29">IF(C196="","",IFERROR(RIGHT(C196,LEN(C196)-FIND("@",SUBSTITUTE(C196,"/","@",LEN(C196)-LEN(SUBSTITUTE(C196,"/",""))))),C196))</f>
        <v/>
      </c>
      <c r="H196" s="25" t="str">
        <f t="shared" ref="H196:H260" si="30">IF(C196="","",IFERROR(LEFT(C196,FIND("@",SUBSTITUTE(C196,"/","@",LEN(C196)-LEN(SUBSTITUTE(C196,"/",""))))-1),"ROOT"))</f>
        <v/>
      </c>
      <c r="I196" s="25" t="str">
        <f t="shared" ref="I196:I259" si="31">IF(H196="","",IF(H196="ROOT","ROOT",IFERROR(RIGHT(H196,LEN(H196)-FIND("@",SUBSTITUTE(H196,"/","@",LEN(H196)-LEN(SUBSTITUTE(H196,"/",""))))),H196)))</f>
        <v/>
      </c>
      <c r="J196" s="26" t="str">
        <f t="shared" ref="J196:J260" si="32">IF(OR(B196="",C196=""),"",IF(AND(B196=IFERROR(RIGHT(C196,LEN(C196)-FIND("@",SUBSTITUTE(C196,"/","@",LEN(C196)-LEN(SUBSTITUTE(C196,"/",""))))),C196),ISERROR(SEARCH("/",B196)),LEFT(C196,1)&lt;&gt;"/",RIGHT(C196,1)&lt;&gt;"/",ISERROR(SEARCH(".",C196)),ISERROR(SEARCH("//",C196))),"OK","CHECK"))</f>
        <v/>
      </c>
      <c r="K196" s="26" t="str">
        <f>IF(C196="","",IF(LEN(C196)-LEN(SUBSTITUTE(C196,"/",""))+1=1,"TOP",IF(COUNTIF($C$4:INDEX($C:$C,ROW()-1),IFERROR(LEFT(C196,FIND("@",SUBSTITUTE(C196,"/","@",LEN(C196)-LEN(SUBSTITUTE(C196,"/",""))))-1),"ROOT"))&gt;0,"OK","CHECK")))</f>
        <v/>
      </c>
      <c r="L196" s="26" t="str">
        <f t="shared" ref="L196:L260" si="33">IF(C196="","",IF(COUNTIFS($A:$A,$A196,$C:$C,C196)=1,"OK","DUP"))</f>
        <v/>
      </c>
      <c r="M196" s="26" t="str">
        <f t="shared" ref="M196:M260" si="34">IF(B196="","",IF(COUNTIFS($A:$A,$A196,$B:$B,B196)=1,"OK","DUP"))</f>
        <v/>
      </c>
      <c r="N196" s="26" t="str">
        <f t="shared" ref="N196:N259" si="35">IF(OR(B196="",C196="",D196=""),"",IF(AND(J196="OK",OR(K196="OK",K196="TOP"),L196="OK",M196="OK"),"OK","CHECK"))</f>
        <v/>
      </c>
    </row>
    <row r="197" spans="1:14" ht="22" customHeight="1" x14ac:dyDescent="0.25">
      <c r="A197" s="27"/>
      <c r="B197" s="10"/>
      <c r="C197" s="10"/>
      <c r="D197" s="10"/>
      <c r="E197" s="34" t="str">
        <f t="shared" si="27"/>
        <v/>
      </c>
      <c r="F197" s="25" t="str">
        <f t="shared" si="28"/>
        <v/>
      </c>
      <c r="G197" s="25" t="str">
        <f t="shared" si="29"/>
        <v/>
      </c>
      <c r="H197" s="25" t="str">
        <f t="shared" si="30"/>
        <v/>
      </c>
      <c r="I197" s="25" t="str">
        <f t="shared" si="31"/>
        <v/>
      </c>
      <c r="J197" s="26" t="str">
        <f t="shared" si="32"/>
        <v/>
      </c>
      <c r="K197" s="26" t="str">
        <f>IF(C197="","",IF(LEN(C197)-LEN(SUBSTITUTE(C197,"/",""))+1=1,"TOP",IF(COUNTIF($C$4:INDEX($C:$C,ROW()-1),IFERROR(LEFT(C197,FIND("@",SUBSTITUTE(C197,"/","@",LEN(C197)-LEN(SUBSTITUTE(C197,"/",""))))-1),"ROOT"))&gt;0,"OK","CHECK")))</f>
        <v/>
      </c>
      <c r="L197" s="26" t="str">
        <f t="shared" si="33"/>
        <v/>
      </c>
      <c r="M197" s="26" t="str">
        <f t="shared" si="34"/>
        <v/>
      </c>
      <c r="N197" s="26" t="str">
        <f t="shared" si="35"/>
        <v/>
      </c>
    </row>
    <row r="198" spans="1:14" ht="22" customHeight="1" x14ac:dyDescent="0.25">
      <c r="A198" s="27"/>
      <c r="B198" s="10"/>
      <c r="C198" s="10"/>
      <c r="D198" s="10"/>
      <c r="E198" s="34" t="str">
        <f t="shared" si="27"/>
        <v/>
      </c>
      <c r="F198" s="25" t="str">
        <f t="shared" si="28"/>
        <v/>
      </c>
      <c r="G198" s="25" t="str">
        <f t="shared" si="29"/>
        <v/>
      </c>
      <c r="H198" s="25" t="str">
        <f t="shared" si="30"/>
        <v/>
      </c>
      <c r="I198" s="25" t="str">
        <f t="shared" si="31"/>
        <v/>
      </c>
      <c r="J198" s="26" t="str">
        <f t="shared" si="32"/>
        <v/>
      </c>
      <c r="K198" s="26" t="str">
        <f>IF(C198="","",IF(LEN(C198)-LEN(SUBSTITUTE(C198,"/",""))+1=1,"TOP",IF(COUNTIF($C$4:INDEX($C:$C,ROW()-1),IFERROR(LEFT(C198,FIND("@",SUBSTITUTE(C198,"/","@",LEN(C198)-LEN(SUBSTITUTE(C198,"/",""))))-1),"ROOT"))&gt;0,"OK","CHECK")))</f>
        <v/>
      </c>
      <c r="L198" s="26" t="str">
        <f t="shared" si="33"/>
        <v/>
      </c>
      <c r="M198" s="26" t="str">
        <f t="shared" si="34"/>
        <v/>
      </c>
      <c r="N198" s="26" t="str">
        <f t="shared" si="35"/>
        <v/>
      </c>
    </row>
    <row r="199" spans="1:14" ht="22" customHeight="1" x14ac:dyDescent="0.25">
      <c r="A199" s="27"/>
      <c r="B199" s="10"/>
      <c r="C199" s="10"/>
      <c r="D199" s="10"/>
      <c r="E199" s="34" t="str">
        <f t="shared" si="27"/>
        <v/>
      </c>
      <c r="F199" s="25" t="str">
        <f t="shared" si="28"/>
        <v/>
      </c>
      <c r="G199" s="25" t="str">
        <f t="shared" si="29"/>
        <v/>
      </c>
      <c r="H199" s="25" t="str">
        <f t="shared" si="30"/>
        <v/>
      </c>
      <c r="I199" s="25" t="str">
        <f t="shared" si="31"/>
        <v/>
      </c>
      <c r="J199" s="26" t="str">
        <f t="shared" si="32"/>
        <v/>
      </c>
      <c r="K199" s="26" t="str">
        <f>IF(C199="","",IF(LEN(C199)-LEN(SUBSTITUTE(C199,"/",""))+1=1,"TOP",IF(COUNTIF($C$4:INDEX($C:$C,ROW()-1),IFERROR(LEFT(C199,FIND("@",SUBSTITUTE(C199,"/","@",LEN(C199)-LEN(SUBSTITUTE(C199,"/",""))))-1),"ROOT"))&gt;0,"OK","CHECK")))</f>
        <v/>
      </c>
      <c r="L199" s="26" t="str">
        <f t="shared" si="33"/>
        <v/>
      </c>
      <c r="M199" s="26" t="str">
        <f t="shared" si="34"/>
        <v/>
      </c>
      <c r="N199" s="26" t="str">
        <f t="shared" si="35"/>
        <v/>
      </c>
    </row>
    <row r="200" spans="1:14" ht="22" customHeight="1" x14ac:dyDescent="0.25">
      <c r="A200" s="27"/>
      <c r="B200" s="10"/>
      <c r="C200" s="10"/>
      <c r="D200" s="10"/>
      <c r="E200" s="34" t="str">
        <f t="shared" si="27"/>
        <v/>
      </c>
      <c r="F200" s="25" t="str">
        <f t="shared" si="28"/>
        <v/>
      </c>
      <c r="G200" s="25" t="str">
        <f t="shared" si="29"/>
        <v/>
      </c>
      <c r="H200" s="25" t="str">
        <f t="shared" si="30"/>
        <v/>
      </c>
      <c r="I200" s="25" t="str">
        <f t="shared" si="31"/>
        <v/>
      </c>
      <c r="J200" s="26" t="str">
        <f t="shared" si="32"/>
        <v/>
      </c>
      <c r="K200" s="26" t="str">
        <f>IF(C200="","",IF(LEN(C200)-LEN(SUBSTITUTE(C200,"/",""))+1=1,"TOP",IF(COUNTIF($C$4:INDEX($C:$C,ROW()-1),IFERROR(LEFT(C200,FIND("@",SUBSTITUTE(C200,"/","@",LEN(C200)-LEN(SUBSTITUTE(C200,"/",""))))-1),"ROOT"))&gt;0,"OK","CHECK")))</f>
        <v/>
      </c>
      <c r="L200" s="26" t="str">
        <f t="shared" si="33"/>
        <v/>
      </c>
      <c r="M200" s="26" t="str">
        <f t="shared" si="34"/>
        <v/>
      </c>
      <c r="N200" s="26" t="str">
        <f t="shared" si="35"/>
        <v/>
      </c>
    </row>
    <row r="201" spans="1:14" ht="22" customHeight="1" x14ac:dyDescent="0.25">
      <c r="A201" s="27"/>
      <c r="B201" s="10"/>
      <c r="C201" s="10"/>
      <c r="D201" s="10"/>
      <c r="E201" s="34" t="str">
        <f t="shared" si="27"/>
        <v/>
      </c>
      <c r="F201" s="25" t="str">
        <f t="shared" si="28"/>
        <v/>
      </c>
      <c r="G201" s="25" t="str">
        <f t="shared" si="29"/>
        <v/>
      </c>
      <c r="H201" s="25" t="str">
        <f t="shared" si="30"/>
        <v/>
      </c>
      <c r="I201" s="25" t="str">
        <f t="shared" si="31"/>
        <v/>
      </c>
      <c r="J201" s="26" t="str">
        <f t="shared" si="32"/>
        <v/>
      </c>
      <c r="K201" s="26" t="str">
        <f>IF(C201="","",IF(LEN(C201)-LEN(SUBSTITUTE(C201,"/",""))+1=1,"TOP",IF(COUNTIF($C$4:INDEX($C:$C,ROW()-1),IFERROR(LEFT(C201,FIND("@",SUBSTITUTE(C201,"/","@",LEN(C201)-LEN(SUBSTITUTE(C201,"/",""))))-1),"ROOT"))&gt;0,"OK","CHECK")))</f>
        <v/>
      </c>
      <c r="L201" s="26" t="str">
        <f t="shared" si="33"/>
        <v/>
      </c>
      <c r="M201" s="26" t="str">
        <f t="shared" si="34"/>
        <v/>
      </c>
      <c r="N201" s="26" t="str">
        <f t="shared" si="35"/>
        <v/>
      </c>
    </row>
    <row r="202" spans="1:14" ht="22" customHeight="1" x14ac:dyDescent="0.25">
      <c r="A202" s="27"/>
      <c r="B202" s="10"/>
      <c r="C202" s="10"/>
      <c r="D202" s="10"/>
      <c r="E202" s="34" t="str">
        <f t="shared" si="27"/>
        <v/>
      </c>
      <c r="F202" s="25" t="str">
        <f t="shared" si="28"/>
        <v/>
      </c>
      <c r="G202" s="25" t="str">
        <f t="shared" si="29"/>
        <v/>
      </c>
      <c r="H202" s="25" t="str">
        <f t="shared" si="30"/>
        <v/>
      </c>
      <c r="I202" s="25" t="str">
        <f t="shared" si="31"/>
        <v/>
      </c>
      <c r="J202" s="26" t="str">
        <f t="shared" si="32"/>
        <v/>
      </c>
      <c r="K202" s="26" t="str">
        <f>IF(C202="","",IF(LEN(C202)-LEN(SUBSTITUTE(C202,"/",""))+1=1,"TOP",IF(COUNTIF($C$4:INDEX($C:$C,ROW()-1),IFERROR(LEFT(C202,FIND("@",SUBSTITUTE(C202,"/","@",LEN(C202)-LEN(SUBSTITUTE(C202,"/",""))))-1),"ROOT"))&gt;0,"OK","CHECK")))</f>
        <v/>
      </c>
      <c r="L202" s="26" t="str">
        <f t="shared" si="33"/>
        <v/>
      </c>
      <c r="M202" s="26" t="str">
        <f t="shared" si="34"/>
        <v/>
      </c>
      <c r="N202" s="26" t="str">
        <f t="shared" si="35"/>
        <v/>
      </c>
    </row>
    <row r="203" spans="1:14" ht="22" customHeight="1" x14ac:dyDescent="0.25">
      <c r="A203" s="27"/>
      <c r="B203" s="10"/>
      <c r="C203" s="10"/>
      <c r="D203" s="10"/>
      <c r="E203" s="34" t="str">
        <f t="shared" si="27"/>
        <v/>
      </c>
      <c r="F203" s="25" t="str">
        <f t="shared" si="28"/>
        <v/>
      </c>
      <c r="G203" s="25" t="str">
        <f t="shared" si="29"/>
        <v/>
      </c>
      <c r="H203" s="25" t="str">
        <f t="shared" si="30"/>
        <v/>
      </c>
      <c r="I203" s="25" t="str">
        <f t="shared" si="31"/>
        <v/>
      </c>
      <c r="J203" s="26" t="str">
        <f t="shared" si="32"/>
        <v/>
      </c>
      <c r="K203" s="26" t="str">
        <f>IF(C203="","",IF(LEN(C203)-LEN(SUBSTITUTE(C203,"/",""))+1=1,"TOP",IF(COUNTIF($C$4:INDEX($C:$C,ROW()-1),IFERROR(LEFT(C203,FIND("@",SUBSTITUTE(C203,"/","@",LEN(C203)-LEN(SUBSTITUTE(C203,"/",""))))-1),"ROOT"))&gt;0,"OK","CHECK")))</f>
        <v/>
      </c>
      <c r="L203" s="26" t="str">
        <f t="shared" si="33"/>
        <v/>
      </c>
      <c r="M203" s="26" t="str">
        <f t="shared" si="34"/>
        <v/>
      </c>
      <c r="N203" s="26" t="str">
        <f t="shared" si="35"/>
        <v/>
      </c>
    </row>
    <row r="204" spans="1:14" ht="22" customHeight="1" x14ac:dyDescent="0.25">
      <c r="A204" s="27"/>
      <c r="B204" s="10"/>
      <c r="C204" s="10"/>
      <c r="D204" s="10"/>
      <c r="E204" s="34" t="str">
        <f t="shared" si="27"/>
        <v/>
      </c>
      <c r="F204" s="25" t="str">
        <f t="shared" si="28"/>
        <v/>
      </c>
      <c r="G204" s="25" t="str">
        <f t="shared" si="29"/>
        <v/>
      </c>
      <c r="H204" s="25" t="str">
        <f t="shared" si="30"/>
        <v/>
      </c>
      <c r="I204" s="25" t="str">
        <f t="shared" si="31"/>
        <v/>
      </c>
      <c r="J204" s="26" t="str">
        <f t="shared" si="32"/>
        <v/>
      </c>
      <c r="K204" s="26" t="str">
        <f>IF(C204="","",IF(LEN(C204)-LEN(SUBSTITUTE(C204,"/",""))+1=1,"TOP",IF(COUNTIF($C$4:INDEX($C:$C,ROW()-1),IFERROR(LEFT(C204,FIND("@",SUBSTITUTE(C204,"/","@",LEN(C204)-LEN(SUBSTITUTE(C204,"/",""))))-1),"ROOT"))&gt;0,"OK","CHECK")))</f>
        <v/>
      </c>
      <c r="L204" s="26" t="str">
        <f t="shared" si="33"/>
        <v/>
      </c>
      <c r="M204" s="26" t="str">
        <f t="shared" si="34"/>
        <v/>
      </c>
      <c r="N204" s="26" t="str">
        <f t="shared" si="35"/>
        <v/>
      </c>
    </row>
    <row r="205" spans="1:14" ht="22" customHeight="1" x14ac:dyDescent="0.25">
      <c r="A205" s="27"/>
      <c r="B205" s="10"/>
      <c r="C205" s="10"/>
      <c r="D205" s="10"/>
      <c r="E205" s="34" t="str">
        <f t="shared" si="27"/>
        <v/>
      </c>
      <c r="F205" s="25" t="str">
        <f t="shared" si="28"/>
        <v/>
      </c>
      <c r="G205" s="25" t="str">
        <f t="shared" si="29"/>
        <v/>
      </c>
      <c r="H205" s="25" t="str">
        <f t="shared" si="30"/>
        <v/>
      </c>
      <c r="I205" s="25" t="str">
        <f t="shared" si="31"/>
        <v/>
      </c>
      <c r="J205" s="26" t="str">
        <f t="shared" si="32"/>
        <v/>
      </c>
      <c r="K205" s="26" t="str">
        <f>IF(C205="","",IF(LEN(C205)-LEN(SUBSTITUTE(C205,"/",""))+1=1,"TOP",IF(COUNTIF($C$4:INDEX($C:$C,ROW()-1),IFERROR(LEFT(C205,FIND("@",SUBSTITUTE(C205,"/","@",LEN(C205)-LEN(SUBSTITUTE(C205,"/",""))))-1),"ROOT"))&gt;0,"OK","CHECK")))</f>
        <v/>
      </c>
      <c r="L205" s="26" t="str">
        <f t="shared" si="33"/>
        <v/>
      </c>
      <c r="M205" s="26" t="str">
        <f t="shared" si="34"/>
        <v/>
      </c>
      <c r="N205" s="26" t="str">
        <f t="shared" si="35"/>
        <v/>
      </c>
    </row>
    <row r="206" spans="1:14" ht="22" customHeight="1" x14ac:dyDescent="0.25">
      <c r="A206" s="27"/>
      <c r="B206" s="10"/>
      <c r="C206" s="10"/>
      <c r="D206" s="10"/>
      <c r="E206" s="34" t="str">
        <f t="shared" si="27"/>
        <v/>
      </c>
      <c r="F206" s="25" t="str">
        <f t="shared" si="28"/>
        <v/>
      </c>
      <c r="G206" s="25" t="str">
        <f t="shared" si="29"/>
        <v/>
      </c>
      <c r="H206" s="25" t="str">
        <f t="shared" si="30"/>
        <v/>
      </c>
      <c r="I206" s="25" t="str">
        <f t="shared" si="31"/>
        <v/>
      </c>
      <c r="J206" s="26" t="str">
        <f t="shared" si="32"/>
        <v/>
      </c>
      <c r="K206" s="26" t="str">
        <f>IF(C206="","",IF(LEN(C206)-LEN(SUBSTITUTE(C206,"/",""))+1=1,"TOP",IF(COUNTIF($C$4:INDEX($C:$C,ROW()-1),IFERROR(LEFT(C206,FIND("@",SUBSTITUTE(C206,"/","@",LEN(C206)-LEN(SUBSTITUTE(C206,"/",""))))-1),"ROOT"))&gt;0,"OK","CHECK")))</f>
        <v/>
      </c>
      <c r="L206" s="26" t="str">
        <f t="shared" si="33"/>
        <v/>
      </c>
      <c r="M206" s="26" t="str">
        <f t="shared" si="34"/>
        <v/>
      </c>
      <c r="N206" s="26" t="str">
        <f t="shared" si="35"/>
        <v/>
      </c>
    </row>
    <row r="207" spans="1:14" ht="22" customHeight="1" x14ac:dyDescent="0.25">
      <c r="A207" s="27"/>
      <c r="B207" s="10"/>
      <c r="C207" s="10"/>
      <c r="D207" s="10"/>
      <c r="E207" s="34" t="str">
        <f t="shared" si="27"/>
        <v/>
      </c>
      <c r="F207" s="25" t="str">
        <f t="shared" si="28"/>
        <v/>
      </c>
      <c r="G207" s="25" t="str">
        <f t="shared" si="29"/>
        <v/>
      </c>
      <c r="H207" s="25" t="str">
        <f t="shared" si="30"/>
        <v/>
      </c>
      <c r="I207" s="25" t="str">
        <f t="shared" si="31"/>
        <v/>
      </c>
      <c r="J207" s="26" t="str">
        <f t="shared" si="32"/>
        <v/>
      </c>
      <c r="K207" s="26" t="str">
        <f>IF(C207="","",IF(LEN(C207)-LEN(SUBSTITUTE(C207,"/",""))+1=1,"TOP",IF(COUNTIF($C$4:INDEX($C:$C,ROW()-1),IFERROR(LEFT(C207,FIND("@",SUBSTITUTE(C207,"/","@",LEN(C207)-LEN(SUBSTITUTE(C207,"/",""))))-1),"ROOT"))&gt;0,"OK","CHECK")))</f>
        <v/>
      </c>
      <c r="L207" s="26" t="str">
        <f t="shared" si="33"/>
        <v/>
      </c>
      <c r="M207" s="26" t="str">
        <f t="shared" si="34"/>
        <v/>
      </c>
      <c r="N207" s="26" t="str">
        <f t="shared" si="35"/>
        <v/>
      </c>
    </row>
    <row r="208" spans="1:14" ht="22" customHeight="1" x14ac:dyDescent="0.25">
      <c r="A208" s="27"/>
      <c r="B208" s="10"/>
      <c r="C208" s="10"/>
      <c r="D208" s="10"/>
      <c r="E208" s="34" t="str">
        <f t="shared" si="27"/>
        <v/>
      </c>
      <c r="F208" s="25" t="str">
        <f t="shared" si="28"/>
        <v/>
      </c>
      <c r="G208" s="25" t="str">
        <f t="shared" si="29"/>
        <v/>
      </c>
      <c r="H208" s="25" t="str">
        <f t="shared" si="30"/>
        <v/>
      </c>
      <c r="I208" s="25" t="str">
        <f t="shared" si="31"/>
        <v/>
      </c>
      <c r="J208" s="26" t="str">
        <f t="shared" si="32"/>
        <v/>
      </c>
      <c r="K208" s="26" t="str">
        <f>IF(C208="","",IF(LEN(C208)-LEN(SUBSTITUTE(C208,"/",""))+1=1,"TOP",IF(COUNTIF($C$4:INDEX($C:$C,ROW()-1),IFERROR(LEFT(C208,FIND("@",SUBSTITUTE(C208,"/","@",LEN(C208)-LEN(SUBSTITUTE(C208,"/",""))))-1),"ROOT"))&gt;0,"OK","CHECK")))</f>
        <v/>
      </c>
      <c r="L208" s="26" t="str">
        <f t="shared" si="33"/>
        <v/>
      </c>
      <c r="M208" s="26" t="str">
        <f t="shared" si="34"/>
        <v/>
      </c>
      <c r="N208" s="26" t="str">
        <f t="shared" si="35"/>
        <v/>
      </c>
    </row>
    <row r="209" spans="1:14" ht="22" customHeight="1" x14ac:dyDescent="0.25">
      <c r="A209" s="27"/>
      <c r="B209" s="10"/>
      <c r="C209" s="10"/>
      <c r="D209" s="10"/>
      <c r="E209" s="34" t="str">
        <f t="shared" si="27"/>
        <v/>
      </c>
      <c r="F209" s="25" t="str">
        <f t="shared" si="28"/>
        <v/>
      </c>
      <c r="G209" s="25" t="str">
        <f t="shared" si="29"/>
        <v/>
      </c>
      <c r="H209" s="25" t="str">
        <f t="shared" si="30"/>
        <v/>
      </c>
      <c r="I209" s="25" t="str">
        <f t="shared" si="31"/>
        <v/>
      </c>
      <c r="J209" s="26" t="str">
        <f t="shared" si="32"/>
        <v/>
      </c>
      <c r="K209" s="26" t="str">
        <f>IF(C209="","",IF(LEN(C209)-LEN(SUBSTITUTE(C209,"/",""))+1=1,"TOP",IF(COUNTIF($C$4:INDEX($C:$C,ROW()-1),IFERROR(LEFT(C209,FIND("@",SUBSTITUTE(C209,"/","@",LEN(C209)-LEN(SUBSTITUTE(C209,"/",""))))-1),"ROOT"))&gt;0,"OK","CHECK")))</f>
        <v/>
      </c>
      <c r="L209" s="26" t="str">
        <f t="shared" si="33"/>
        <v/>
      </c>
      <c r="M209" s="26" t="str">
        <f t="shared" si="34"/>
        <v/>
      </c>
      <c r="N209" s="26" t="str">
        <f t="shared" si="35"/>
        <v/>
      </c>
    </row>
    <row r="210" spans="1:14" ht="22" customHeight="1" x14ac:dyDescent="0.25">
      <c r="A210" s="27"/>
      <c r="B210" s="10"/>
      <c r="C210" s="10"/>
      <c r="D210" s="10"/>
      <c r="E210" s="34" t="str">
        <f t="shared" si="27"/>
        <v/>
      </c>
      <c r="F210" s="25" t="str">
        <f t="shared" si="28"/>
        <v/>
      </c>
      <c r="G210" s="25" t="str">
        <f t="shared" si="29"/>
        <v/>
      </c>
      <c r="H210" s="25" t="str">
        <f t="shared" si="30"/>
        <v/>
      </c>
      <c r="I210" s="25" t="str">
        <f t="shared" si="31"/>
        <v/>
      </c>
      <c r="J210" s="26" t="str">
        <f t="shared" si="32"/>
        <v/>
      </c>
      <c r="K210" s="26" t="str">
        <f>IF(C210="","",IF(LEN(C210)-LEN(SUBSTITUTE(C210,"/",""))+1=1,"TOP",IF(COUNTIF($C$4:INDEX($C:$C,ROW()-1),IFERROR(LEFT(C210,FIND("@",SUBSTITUTE(C210,"/","@",LEN(C210)-LEN(SUBSTITUTE(C210,"/",""))))-1),"ROOT"))&gt;0,"OK","CHECK")))</f>
        <v/>
      </c>
      <c r="L210" s="26" t="str">
        <f t="shared" si="33"/>
        <v/>
      </c>
      <c r="M210" s="26" t="str">
        <f t="shared" si="34"/>
        <v/>
      </c>
      <c r="N210" s="26" t="str">
        <f t="shared" si="35"/>
        <v/>
      </c>
    </row>
    <row r="211" spans="1:14" ht="22" customHeight="1" x14ac:dyDescent="0.25">
      <c r="A211" s="27"/>
      <c r="B211" s="10"/>
      <c r="C211" s="10"/>
      <c r="D211" s="10"/>
      <c r="E211" s="34" t="str">
        <f t="shared" si="27"/>
        <v/>
      </c>
      <c r="F211" s="25" t="str">
        <f t="shared" si="28"/>
        <v/>
      </c>
      <c r="G211" s="25" t="str">
        <f t="shared" si="29"/>
        <v/>
      </c>
      <c r="H211" s="25" t="str">
        <f t="shared" si="30"/>
        <v/>
      </c>
      <c r="I211" s="25" t="str">
        <f t="shared" si="31"/>
        <v/>
      </c>
      <c r="J211" s="26" t="str">
        <f t="shared" si="32"/>
        <v/>
      </c>
      <c r="K211" s="26" t="str">
        <f>IF(C211="","",IF(LEN(C211)-LEN(SUBSTITUTE(C211,"/",""))+1=1,"TOP",IF(COUNTIF($C$4:INDEX($C:$C,ROW()-1),IFERROR(LEFT(C211,FIND("@",SUBSTITUTE(C211,"/","@",LEN(C211)-LEN(SUBSTITUTE(C211,"/",""))))-1),"ROOT"))&gt;0,"OK","CHECK")))</f>
        <v/>
      </c>
      <c r="L211" s="26" t="str">
        <f t="shared" si="33"/>
        <v/>
      </c>
      <c r="M211" s="26" t="str">
        <f t="shared" si="34"/>
        <v/>
      </c>
      <c r="N211" s="26" t="str">
        <f t="shared" si="35"/>
        <v/>
      </c>
    </row>
    <row r="212" spans="1:14" ht="22" customHeight="1" x14ac:dyDescent="0.25">
      <c r="A212" s="27"/>
      <c r="B212" s="10"/>
      <c r="C212" s="10"/>
      <c r="D212" s="10"/>
      <c r="E212" s="34" t="str">
        <f t="shared" si="27"/>
        <v/>
      </c>
      <c r="F212" s="25" t="str">
        <f t="shared" si="28"/>
        <v/>
      </c>
      <c r="G212" s="25" t="str">
        <f t="shared" si="29"/>
        <v/>
      </c>
      <c r="H212" s="25" t="str">
        <f t="shared" si="30"/>
        <v/>
      </c>
      <c r="I212" s="25" t="str">
        <f t="shared" si="31"/>
        <v/>
      </c>
      <c r="J212" s="26" t="str">
        <f t="shared" si="32"/>
        <v/>
      </c>
      <c r="K212" s="26" t="str">
        <f>IF(C212="","",IF(LEN(C212)-LEN(SUBSTITUTE(C212,"/",""))+1=1,"TOP",IF(COUNTIF($C$4:INDEX($C:$C,ROW()-1),IFERROR(LEFT(C212,FIND("@",SUBSTITUTE(C212,"/","@",LEN(C212)-LEN(SUBSTITUTE(C212,"/",""))))-1),"ROOT"))&gt;0,"OK","CHECK")))</f>
        <v/>
      </c>
      <c r="L212" s="26" t="str">
        <f t="shared" si="33"/>
        <v/>
      </c>
      <c r="M212" s="26" t="str">
        <f t="shared" si="34"/>
        <v/>
      </c>
      <c r="N212" s="26" t="str">
        <f t="shared" si="35"/>
        <v/>
      </c>
    </row>
    <row r="213" spans="1:14" ht="22" customHeight="1" x14ac:dyDescent="0.25">
      <c r="A213" s="27"/>
      <c r="B213" s="10"/>
      <c r="C213" s="10"/>
      <c r="D213" s="10"/>
      <c r="E213" s="34" t="str">
        <f t="shared" si="27"/>
        <v/>
      </c>
      <c r="F213" s="25" t="str">
        <f t="shared" si="28"/>
        <v/>
      </c>
      <c r="G213" s="25" t="str">
        <f t="shared" si="29"/>
        <v/>
      </c>
      <c r="H213" s="25" t="str">
        <f t="shared" si="30"/>
        <v/>
      </c>
      <c r="I213" s="25" t="str">
        <f t="shared" si="31"/>
        <v/>
      </c>
      <c r="J213" s="26" t="str">
        <f t="shared" si="32"/>
        <v/>
      </c>
      <c r="K213" s="26" t="str">
        <f>IF(C213="","",IF(LEN(C213)-LEN(SUBSTITUTE(C213,"/",""))+1=1,"TOP",IF(COUNTIF($C$4:INDEX($C:$C,ROW()-1),IFERROR(LEFT(C213,FIND("@",SUBSTITUTE(C213,"/","@",LEN(C213)-LEN(SUBSTITUTE(C213,"/",""))))-1),"ROOT"))&gt;0,"OK","CHECK")))</f>
        <v/>
      </c>
      <c r="L213" s="26" t="str">
        <f t="shared" si="33"/>
        <v/>
      </c>
      <c r="M213" s="26" t="str">
        <f t="shared" si="34"/>
        <v/>
      </c>
      <c r="N213" s="26" t="str">
        <f t="shared" si="35"/>
        <v/>
      </c>
    </row>
    <row r="214" spans="1:14" ht="22" customHeight="1" x14ac:dyDescent="0.25">
      <c r="A214" s="27"/>
      <c r="B214" s="10"/>
      <c r="C214" s="10"/>
      <c r="D214" s="10"/>
      <c r="E214" s="34" t="str">
        <f t="shared" si="27"/>
        <v/>
      </c>
      <c r="F214" s="25" t="str">
        <f t="shared" si="28"/>
        <v/>
      </c>
      <c r="G214" s="25" t="str">
        <f t="shared" si="29"/>
        <v/>
      </c>
      <c r="H214" s="25" t="str">
        <f t="shared" si="30"/>
        <v/>
      </c>
      <c r="I214" s="25" t="str">
        <f t="shared" si="31"/>
        <v/>
      </c>
      <c r="J214" s="26" t="str">
        <f t="shared" si="32"/>
        <v/>
      </c>
      <c r="K214" s="26" t="str">
        <f>IF(C214="","",IF(LEN(C214)-LEN(SUBSTITUTE(C214,"/",""))+1=1,"TOP",IF(COUNTIF($C$4:INDEX($C:$C,ROW()-1),IFERROR(LEFT(C214,FIND("@",SUBSTITUTE(C214,"/","@",LEN(C214)-LEN(SUBSTITUTE(C214,"/",""))))-1),"ROOT"))&gt;0,"OK","CHECK")))</f>
        <v/>
      </c>
      <c r="L214" s="26" t="str">
        <f t="shared" si="33"/>
        <v/>
      </c>
      <c r="M214" s="26" t="str">
        <f t="shared" si="34"/>
        <v/>
      </c>
      <c r="N214" s="26" t="str">
        <f t="shared" si="35"/>
        <v/>
      </c>
    </row>
    <row r="215" spans="1:14" ht="22" customHeight="1" x14ac:dyDescent="0.25">
      <c r="A215" s="27"/>
      <c r="B215" s="10"/>
      <c r="C215" s="10"/>
      <c r="D215" s="10"/>
      <c r="E215" s="34" t="str">
        <f t="shared" si="27"/>
        <v/>
      </c>
      <c r="F215" s="25" t="str">
        <f t="shared" si="28"/>
        <v/>
      </c>
      <c r="G215" s="25" t="str">
        <f t="shared" si="29"/>
        <v/>
      </c>
      <c r="H215" s="25" t="str">
        <f t="shared" si="30"/>
        <v/>
      </c>
      <c r="I215" s="25" t="str">
        <f t="shared" si="31"/>
        <v/>
      </c>
      <c r="J215" s="26" t="str">
        <f t="shared" si="32"/>
        <v/>
      </c>
      <c r="K215" s="26" t="str">
        <f>IF(C215="","",IF(LEN(C215)-LEN(SUBSTITUTE(C215,"/",""))+1=1,"TOP",IF(COUNTIF($C$4:INDEX($C:$C,ROW()-1),IFERROR(LEFT(C215,FIND("@",SUBSTITUTE(C215,"/","@",LEN(C215)-LEN(SUBSTITUTE(C215,"/",""))))-1),"ROOT"))&gt;0,"OK","CHECK")))</f>
        <v/>
      </c>
      <c r="L215" s="26" t="str">
        <f t="shared" si="33"/>
        <v/>
      </c>
      <c r="M215" s="26" t="str">
        <f t="shared" si="34"/>
        <v/>
      </c>
      <c r="N215" s="26" t="str">
        <f t="shared" si="35"/>
        <v/>
      </c>
    </row>
    <row r="216" spans="1:14" ht="22" customHeight="1" x14ac:dyDescent="0.25">
      <c r="A216" s="27"/>
      <c r="B216" s="10"/>
      <c r="C216" s="10"/>
      <c r="D216" s="10"/>
      <c r="E216" s="34" t="str">
        <f t="shared" si="27"/>
        <v/>
      </c>
      <c r="F216" s="25" t="str">
        <f t="shared" si="28"/>
        <v/>
      </c>
      <c r="G216" s="25" t="str">
        <f t="shared" si="29"/>
        <v/>
      </c>
      <c r="H216" s="25" t="str">
        <f t="shared" si="30"/>
        <v/>
      </c>
      <c r="I216" s="25" t="str">
        <f t="shared" si="31"/>
        <v/>
      </c>
      <c r="J216" s="26" t="str">
        <f t="shared" si="32"/>
        <v/>
      </c>
      <c r="K216" s="26" t="str">
        <f>IF(C216="","",IF(LEN(C216)-LEN(SUBSTITUTE(C216,"/",""))+1=1,"TOP",IF(COUNTIF($C$4:INDEX($C:$C,ROW()-1),IFERROR(LEFT(C216,FIND("@",SUBSTITUTE(C216,"/","@",LEN(C216)-LEN(SUBSTITUTE(C216,"/",""))))-1),"ROOT"))&gt;0,"OK","CHECK")))</f>
        <v/>
      </c>
      <c r="L216" s="26" t="str">
        <f t="shared" si="33"/>
        <v/>
      </c>
      <c r="M216" s="26" t="str">
        <f t="shared" si="34"/>
        <v/>
      </c>
      <c r="N216" s="26" t="str">
        <f t="shared" si="35"/>
        <v/>
      </c>
    </row>
    <row r="217" spans="1:14" ht="22" customHeight="1" x14ac:dyDescent="0.25">
      <c r="A217" s="27"/>
      <c r="B217" s="10"/>
      <c r="C217" s="10"/>
      <c r="D217" s="10"/>
      <c r="E217" s="34" t="str">
        <f t="shared" si="27"/>
        <v/>
      </c>
      <c r="F217" s="25" t="str">
        <f t="shared" si="28"/>
        <v/>
      </c>
      <c r="G217" s="25" t="str">
        <f t="shared" si="29"/>
        <v/>
      </c>
      <c r="H217" s="25" t="str">
        <f t="shared" si="30"/>
        <v/>
      </c>
      <c r="I217" s="25" t="str">
        <f t="shared" si="31"/>
        <v/>
      </c>
      <c r="J217" s="26" t="str">
        <f t="shared" si="32"/>
        <v/>
      </c>
      <c r="K217" s="26" t="str">
        <f>IF(C217="","",IF(LEN(C217)-LEN(SUBSTITUTE(C217,"/",""))+1=1,"TOP",IF(COUNTIF($C$4:INDEX($C:$C,ROW()-1),IFERROR(LEFT(C217,FIND("@",SUBSTITUTE(C217,"/","@",LEN(C217)-LEN(SUBSTITUTE(C217,"/",""))))-1),"ROOT"))&gt;0,"OK","CHECK")))</f>
        <v/>
      </c>
      <c r="L217" s="26" t="str">
        <f t="shared" si="33"/>
        <v/>
      </c>
      <c r="M217" s="26" t="str">
        <f t="shared" si="34"/>
        <v/>
      </c>
      <c r="N217" s="26" t="str">
        <f t="shared" si="35"/>
        <v/>
      </c>
    </row>
    <row r="218" spans="1:14" ht="22" customHeight="1" x14ac:dyDescent="0.25">
      <c r="A218" s="27"/>
      <c r="B218" s="10"/>
      <c r="C218" s="10"/>
      <c r="D218" s="10"/>
      <c r="E218" s="34" t="str">
        <f t="shared" si="27"/>
        <v/>
      </c>
      <c r="F218" s="25" t="str">
        <f t="shared" si="28"/>
        <v/>
      </c>
      <c r="G218" s="25" t="str">
        <f t="shared" si="29"/>
        <v/>
      </c>
      <c r="H218" s="25" t="str">
        <f t="shared" si="30"/>
        <v/>
      </c>
      <c r="I218" s="25" t="str">
        <f t="shared" si="31"/>
        <v/>
      </c>
      <c r="J218" s="26" t="str">
        <f t="shared" si="32"/>
        <v/>
      </c>
      <c r="K218" s="26" t="str">
        <f>IF(C218="","",IF(LEN(C218)-LEN(SUBSTITUTE(C218,"/",""))+1=1,"TOP",IF(COUNTIF($C$4:INDEX($C:$C,ROW()-1),IFERROR(LEFT(C218,FIND("@",SUBSTITUTE(C218,"/","@",LEN(C218)-LEN(SUBSTITUTE(C218,"/",""))))-1),"ROOT"))&gt;0,"OK","CHECK")))</f>
        <v/>
      </c>
      <c r="L218" s="26" t="str">
        <f t="shared" si="33"/>
        <v/>
      </c>
      <c r="M218" s="26" t="str">
        <f t="shared" si="34"/>
        <v/>
      </c>
      <c r="N218" s="26" t="str">
        <f t="shared" si="35"/>
        <v/>
      </c>
    </row>
    <row r="219" spans="1:14" ht="22" customHeight="1" x14ac:dyDescent="0.25">
      <c r="A219" s="27"/>
      <c r="B219" s="10"/>
      <c r="C219" s="10"/>
      <c r="D219" s="10"/>
      <c r="E219" s="34" t="str">
        <f t="shared" si="27"/>
        <v/>
      </c>
      <c r="F219" s="25" t="str">
        <f t="shared" si="28"/>
        <v/>
      </c>
      <c r="G219" s="25" t="str">
        <f t="shared" si="29"/>
        <v/>
      </c>
      <c r="H219" s="25" t="str">
        <f t="shared" si="30"/>
        <v/>
      </c>
      <c r="I219" s="25" t="str">
        <f t="shared" si="31"/>
        <v/>
      </c>
      <c r="J219" s="26" t="str">
        <f t="shared" si="32"/>
        <v/>
      </c>
      <c r="K219" s="26" t="str">
        <f>IF(C219="","",IF(LEN(C219)-LEN(SUBSTITUTE(C219,"/",""))+1=1,"TOP",IF(COUNTIF($C$4:INDEX($C:$C,ROW()-1),IFERROR(LEFT(C219,FIND("@",SUBSTITUTE(C219,"/","@",LEN(C219)-LEN(SUBSTITUTE(C219,"/",""))))-1),"ROOT"))&gt;0,"OK","CHECK")))</f>
        <v/>
      </c>
      <c r="L219" s="26" t="str">
        <f t="shared" si="33"/>
        <v/>
      </c>
      <c r="M219" s="26" t="str">
        <f t="shared" si="34"/>
        <v/>
      </c>
      <c r="N219" s="26" t="str">
        <f t="shared" si="35"/>
        <v/>
      </c>
    </row>
    <row r="220" spans="1:14" ht="22" customHeight="1" x14ac:dyDescent="0.25">
      <c r="A220" s="27"/>
      <c r="B220" s="10"/>
      <c r="C220" s="10"/>
      <c r="D220" s="10"/>
      <c r="E220" s="34" t="str">
        <f t="shared" si="27"/>
        <v/>
      </c>
      <c r="F220" s="25" t="str">
        <f t="shared" si="28"/>
        <v/>
      </c>
      <c r="G220" s="25" t="str">
        <f t="shared" si="29"/>
        <v/>
      </c>
      <c r="H220" s="25" t="str">
        <f t="shared" si="30"/>
        <v/>
      </c>
      <c r="I220" s="25" t="str">
        <f t="shared" si="31"/>
        <v/>
      </c>
      <c r="J220" s="26" t="str">
        <f t="shared" si="32"/>
        <v/>
      </c>
      <c r="K220" s="26" t="str">
        <f>IF(C220="","",IF(LEN(C220)-LEN(SUBSTITUTE(C220,"/",""))+1=1,"TOP",IF(COUNTIF($C$4:INDEX($C:$C,ROW()-1),IFERROR(LEFT(C220,FIND("@",SUBSTITUTE(C220,"/","@",LEN(C220)-LEN(SUBSTITUTE(C220,"/",""))))-1),"ROOT"))&gt;0,"OK","CHECK")))</f>
        <v/>
      </c>
      <c r="L220" s="26" t="str">
        <f t="shared" si="33"/>
        <v/>
      </c>
      <c r="M220" s="26" t="str">
        <f t="shared" si="34"/>
        <v/>
      </c>
      <c r="N220" s="26" t="str">
        <f t="shared" si="35"/>
        <v/>
      </c>
    </row>
    <row r="221" spans="1:14" ht="22" customHeight="1" x14ac:dyDescent="0.25">
      <c r="A221" s="27"/>
      <c r="B221" s="10"/>
      <c r="C221" s="10"/>
      <c r="D221" s="10"/>
      <c r="E221" s="34" t="str">
        <f t="shared" si="27"/>
        <v/>
      </c>
      <c r="F221" s="25" t="str">
        <f t="shared" si="28"/>
        <v/>
      </c>
      <c r="G221" s="25" t="str">
        <f t="shared" si="29"/>
        <v/>
      </c>
      <c r="H221" s="25" t="str">
        <f t="shared" si="30"/>
        <v/>
      </c>
      <c r="I221" s="25" t="str">
        <f t="shared" si="31"/>
        <v/>
      </c>
      <c r="J221" s="26" t="str">
        <f t="shared" si="32"/>
        <v/>
      </c>
      <c r="K221" s="26" t="str">
        <f>IF(C221="","",IF(LEN(C221)-LEN(SUBSTITUTE(C221,"/",""))+1=1,"TOP",IF(COUNTIF($C$4:INDEX($C:$C,ROW()-1),IFERROR(LEFT(C221,FIND("@",SUBSTITUTE(C221,"/","@",LEN(C221)-LEN(SUBSTITUTE(C221,"/",""))))-1),"ROOT"))&gt;0,"OK","CHECK")))</f>
        <v/>
      </c>
      <c r="L221" s="26" t="str">
        <f t="shared" si="33"/>
        <v/>
      </c>
      <c r="M221" s="26" t="str">
        <f t="shared" si="34"/>
        <v/>
      </c>
      <c r="N221" s="26" t="str">
        <f t="shared" si="35"/>
        <v/>
      </c>
    </row>
    <row r="222" spans="1:14" ht="22" customHeight="1" x14ac:dyDescent="0.25">
      <c r="A222" s="27"/>
      <c r="B222" s="10"/>
      <c r="C222" s="10"/>
      <c r="D222" s="10"/>
      <c r="E222" s="34" t="str">
        <f t="shared" si="27"/>
        <v/>
      </c>
      <c r="F222" s="25" t="str">
        <f t="shared" si="28"/>
        <v/>
      </c>
      <c r="G222" s="25" t="str">
        <f t="shared" si="29"/>
        <v/>
      </c>
      <c r="H222" s="25" t="str">
        <f t="shared" si="30"/>
        <v/>
      </c>
      <c r="I222" s="25" t="str">
        <f t="shared" si="31"/>
        <v/>
      </c>
      <c r="J222" s="26" t="str">
        <f t="shared" si="32"/>
        <v/>
      </c>
      <c r="K222" s="26" t="str">
        <f>IF(C222="","",IF(LEN(C222)-LEN(SUBSTITUTE(C222,"/",""))+1=1,"TOP",IF(COUNTIF($C$4:INDEX($C:$C,ROW()-1),IFERROR(LEFT(C222,FIND("@",SUBSTITUTE(C222,"/","@",LEN(C222)-LEN(SUBSTITUTE(C222,"/",""))))-1),"ROOT"))&gt;0,"OK","CHECK")))</f>
        <v/>
      </c>
      <c r="L222" s="26" t="str">
        <f t="shared" si="33"/>
        <v/>
      </c>
      <c r="M222" s="26" t="str">
        <f t="shared" si="34"/>
        <v/>
      </c>
      <c r="N222" s="26" t="str">
        <f t="shared" si="35"/>
        <v/>
      </c>
    </row>
    <row r="223" spans="1:14" ht="22" customHeight="1" x14ac:dyDescent="0.25">
      <c r="A223" s="27"/>
      <c r="B223" s="10"/>
      <c r="C223" s="10"/>
      <c r="D223" s="10"/>
      <c r="E223" s="34" t="str">
        <f t="shared" si="27"/>
        <v/>
      </c>
      <c r="F223" s="25" t="str">
        <f t="shared" si="28"/>
        <v/>
      </c>
      <c r="G223" s="25" t="str">
        <f t="shared" si="29"/>
        <v/>
      </c>
      <c r="H223" s="25" t="str">
        <f t="shared" si="30"/>
        <v/>
      </c>
      <c r="I223" s="25" t="str">
        <f t="shared" si="31"/>
        <v/>
      </c>
      <c r="J223" s="26" t="str">
        <f t="shared" si="32"/>
        <v/>
      </c>
      <c r="K223" s="26" t="str">
        <f>IF(C223="","",IF(LEN(C223)-LEN(SUBSTITUTE(C223,"/",""))+1=1,"TOP",IF(COUNTIF($C$4:INDEX($C:$C,ROW()-1),IFERROR(LEFT(C223,FIND("@",SUBSTITUTE(C223,"/","@",LEN(C223)-LEN(SUBSTITUTE(C223,"/",""))))-1),"ROOT"))&gt;0,"OK","CHECK")))</f>
        <v/>
      </c>
      <c r="L223" s="26" t="str">
        <f t="shared" si="33"/>
        <v/>
      </c>
      <c r="M223" s="26" t="str">
        <f t="shared" si="34"/>
        <v/>
      </c>
      <c r="N223" s="26" t="str">
        <f t="shared" si="35"/>
        <v/>
      </c>
    </row>
    <row r="224" spans="1:14" ht="22" customHeight="1" x14ac:dyDescent="0.25">
      <c r="A224" s="27"/>
      <c r="B224" s="10"/>
      <c r="C224" s="10"/>
      <c r="D224" s="10"/>
      <c r="E224" s="34" t="str">
        <f t="shared" si="27"/>
        <v/>
      </c>
      <c r="F224" s="25" t="str">
        <f t="shared" si="28"/>
        <v/>
      </c>
      <c r="G224" s="25" t="str">
        <f t="shared" si="29"/>
        <v/>
      </c>
      <c r="H224" s="25" t="str">
        <f t="shared" si="30"/>
        <v/>
      </c>
      <c r="I224" s="25" t="str">
        <f t="shared" si="31"/>
        <v/>
      </c>
      <c r="J224" s="26" t="str">
        <f t="shared" si="32"/>
        <v/>
      </c>
      <c r="K224" s="26" t="str">
        <f>IF(C224="","",IF(LEN(C224)-LEN(SUBSTITUTE(C224,"/",""))+1=1,"TOP",IF(COUNTIF($C$4:INDEX($C:$C,ROW()-1),IFERROR(LEFT(C224,FIND("@",SUBSTITUTE(C224,"/","@",LEN(C224)-LEN(SUBSTITUTE(C224,"/",""))))-1),"ROOT"))&gt;0,"OK","CHECK")))</f>
        <v/>
      </c>
      <c r="L224" s="26" t="str">
        <f t="shared" si="33"/>
        <v/>
      </c>
      <c r="M224" s="26" t="str">
        <f t="shared" si="34"/>
        <v/>
      </c>
      <c r="N224" s="26" t="str">
        <f t="shared" si="35"/>
        <v/>
      </c>
    </row>
    <row r="225" spans="1:14" ht="22" customHeight="1" x14ac:dyDescent="0.25">
      <c r="A225" s="27"/>
      <c r="B225" s="10"/>
      <c r="C225" s="10"/>
      <c r="D225" s="10"/>
      <c r="E225" s="34" t="str">
        <f t="shared" si="27"/>
        <v/>
      </c>
      <c r="F225" s="25" t="str">
        <f t="shared" si="28"/>
        <v/>
      </c>
      <c r="G225" s="25" t="str">
        <f t="shared" si="29"/>
        <v/>
      </c>
      <c r="H225" s="25" t="str">
        <f t="shared" si="30"/>
        <v/>
      </c>
      <c r="I225" s="25" t="str">
        <f t="shared" si="31"/>
        <v/>
      </c>
      <c r="J225" s="26" t="str">
        <f t="shared" si="32"/>
        <v/>
      </c>
      <c r="K225" s="26" t="str">
        <f>IF(C225="","",IF(LEN(C225)-LEN(SUBSTITUTE(C225,"/",""))+1=1,"TOP",IF(COUNTIF($C$4:INDEX($C:$C,ROW()-1),IFERROR(LEFT(C225,FIND("@",SUBSTITUTE(C225,"/","@",LEN(C225)-LEN(SUBSTITUTE(C225,"/",""))))-1),"ROOT"))&gt;0,"OK","CHECK")))</f>
        <v/>
      </c>
      <c r="L225" s="26" t="str">
        <f t="shared" si="33"/>
        <v/>
      </c>
      <c r="M225" s="26" t="str">
        <f t="shared" si="34"/>
        <v/>
      </c>
      <c r="N225" s="26" t="str">
        <f t="shared" si="35"/>
        <v/>
      </c>
    </row>
    <row r="226" spans="1:14" ht="22" customHeight="1" x14ac:dyDescent="0.25">
      <c r="A226" s="27"/>
      <c r="B226" s="10"/>
      <c r="C226" s="10"/>
      <c r="D226" s="10"/>
      <c r="E226" s="34" t="str">
        <f t="shared" si="27"/>
        <v/>
      </c>
      <c r="F226" s="25" t="str">
        <f t="shared" si="28"/>
        <v/>
      </c>
      <c r="G226" s="25" t="str">
        <f t="shared" si="29"/>
        <v/>
      </c>
      <c r="H226" s="25" t="str">
        <f t="shared" si="30"/>
        <v/>
      </c>
      <c r="I226" s="25" t="str">
        <f t="shared" si="31"/>
        <v/>
      </c>
      <c r="J226" s="26" t="str">
        <f t="shared" si="32"/>
        <v/>
      </c>
      <c r="K226" s="26" t="str">
        <f>IF(C226="","",IF(LEN(C226)-LEN(SUBSTITUTE(C226,"/",""))+1=1,"TOP",IF(COUNTIF($C$4:INDEX($C:$C,ROW()-1),IFERROR(LEFT(C226,FIND("@",SUBSTITUTE(C226,"/","@",LEN(C226)-LEN(SUBSTITUTE(C226,"/",""))))-1),"ROOT"))&gt;0,"OK","CHECK")))</f>
        <v/>
      </c>
      <c r="L226" s="26" t="str">
        <f t="shared" si="33"/>
        <v/>
      </c>
      <c r="M226" s="26" t="str">
        <f t="shared" si="34"/>
        <v/>
      </c>
      <c r="N226" s="26" t="str">
        <f t="shared" si="35"/>
        <v/>
      </c>
    </row>
    <row r="227" spans="1:14" ht="22" customHeight="1" x14ac:dyDescent="0.25">
      <c r="A227" s="27"/>
      <c r="B227" s="10"/>
      <c r="C227" s="10"/>
      <c r="D227" s="10"/>
      <c r="E227" s="34" t="str">
        <f t="shared" si="27"/>
        <v/>
      </c>
      <c r="F227" s="25" t="str">
        <f t="shared" si="28"/>
        <v/>
      </c>
      <c r="G227" s="25" t="str">
        <f t="shared" si="29"/>
        <v/>
      </c>
      <c r="H227" s="25" t="str">
        <f t="shared" si="30"/>
        <v/>
      </c>
      <c r="I227" s="25" t="str">
        <f t="shared" si="31"/>
        <v/>
      </c>
      <c r="J227" s="26" t="str">
        <f t="shared" si="32"/>
        <v/>
      </c>
      <c r="K227" s="26" t="str">
        <f>IF(C227="","",IF(LEN(C227)-LEN(SUBSTITUTE(C227,"/",""))+1=1,"TOP",IF(COUNTIF($C$4:INDEX($C:$C,ROW()-1),IFERROR(LEFT(C227,FIND("@",SUBSTITUTE(C227,"/","@",LEN(C227)-LEN(SUBSTITUTE(C227,"/",""))))-1),"ROOT"))&gt;0,"OK","CHECK")))</f>
        <v/>
      </c>
      <c r="L227" s="26" t="str">
        <f t="shared" si="33"/>
        <v/>
      </c>
      <c r="M227" s="26" t="str">
        <f t="shared" si="34"/>
        <v/>
      </c>
      <c r="N227" s="26" t="str">
        <f t="shared" si="35"/>
        <v/>
      </c>
    </row>
    <row r="228" spans="1:14" ht="22" customHeight="1" x14ac:dyDescent="0.25">
      <c r="A228" s="27"/>
      <c r="B228" s="10"/>
      <c r="C228" s="10"/>
      <c r="D228" s="10"/>
      <c r="E228" s="34" t="str">
        <f t="shared" si="27"/>
        <v/>
      </c>
      <c r="F228" s="25" t="str">
        <f t="shared" si="28"/>
        <v/>
      </c>
      <c r="G228" s="25" t="str">
        <f t="shared" si="29"/>
        <v/>
      </c>
      <c r="H228" s="25" t="str">
        <f t="shared" si="30"/>
        <v/>
      </c>
      <c r="I228" s="25" t="str">
        <f t="shared" si="31"/>
        <v/>
      </c>
      <c r="J228" s="26" t="str">
        <f t="shared" si="32"/>
        <v/>
      </c>
      <c r="K228" s="26" t="str">
        <f>IF(C228="","",IF(LEN(C228)-LEN(SUBSTITUTE(C228,"/",""))+1=1,"TOP",IF(COUNTIF($C$4:INDEX($C:$C,ROW()-1),IFERROR(LEFT(C228,FIND("@",SUBSTITUTE(C228,"/","@",LEN(C228)-LEN(SUBSTITUTE(C228,"/",""))))-1),"ROOT"))&gt;0,"OK","CHECK")))</f>
        <v/>
      </c>
      <c r="L228" s="26" t="str">
        <f t="shared" si="33"/>
        <v/>
      </c>
      <c r="M228" s="26" t="str">
        <f t="shared" si="34"/>
        <v/>
      </c>
      <c r="N228" s="26" t="str">
        <f t="shared" si="35"/>
        <v/>
      </c>
    </row>
    <row r="229" spans="1:14" ht="22" customHeight="1" x14ac:dyDescent="0.25">
      <c r="A229" s="27"/>
      <c r="B229" s="10"/>
      <c r="C229" s="10"/>
      <c r="D229" s="10"/>
      <c r="E229" s="34" t="str">
        <f t="shared" si="27"/>
        <v/>
      </c>
      <c r="F229" s="25" t="str">
        <f t="shared" si="28"/>
        <v/>
      </c>
      <c r="G229" s="25" t="str">
        <f t="shared" si="29"/>
        <v/>
      </c>
      <c r="H229" s="25" t="str">
        <f t="shared" si="30"/>
        <v/>
      </c>
      <c r="I229" s="25" t="str">
        <f t="shared" si="31"/>
        <v/>
      </c>
      <c r="J229" s="26" t="str">
        <f t="shared" si="32"/>
        <v/>
      </c>
      <c r="K229" s="26" t="str">
        <f>IF(C229="","",IF(LEN(C229)-LEN(SUBSTITUTE(C229,"/",""))+1=1,"TOP",IF(COUNTIF($C$4:INDEX($C:$C,ROW()-1),IFERROR(LEFT(C229,FIND("@",SUBSTITUTE(C229,"/","@",LEN(C229)-LEN(SUBSTITUTE(C229,"/",""))))-1),"ROOT"))&gt;0,"OK","CHECK")))</f>
        <v/>
      </c>
      <c r="L229" s="26" t="str">
        <f t="shared" si="33"/>
        <v/>
      </c>
      <c r="M229" s="26" t="str">
        <f t="shared" si="34"/>
        <v/>
      </c>
      <c r="N229" s="26" t="str">
        <f t="shared" si="35"/>
        <v/>
      </c>
    </row>
    <row r="230" spans="1:14" ht="22" customHeight="1" x14ac:dyDescent="0.25">
      <c r="A230" s="27"/>
      <c r="B230" s="10"/>
      <c r="C230" s="10"/>
      <c r="D230" s="10"/>
      <c r="E230" s="34" t="str">
        <f t="shared" si="27"/>
        <v/>
      </c>
      <c r="F230" s="25" t="str">
        <f t="shared" si="28"/>
        <v/>
      </c>
      <c r="G230" s="25" t="str">
        <f t="shared" si="29"/>
        <v/>
      </c>
      <c r="H230" s="25" t="str">
        <f t="shared" si="30"/>
        <v/>
      </c>
      <c r="I230" s="25" t="str">
        <f t="shared" si="31"/>
        <v/>
      </c>
      <c r="J230" s="26" t="str">
        <f t="shared" si="32"/>
        <v/>
      </c>
      <c r="K230" s="26" t="str">
        <f>IF(C230="","",IF(LEN(C230)-LEN(SUBSTITUTE(C230,"/",""))+1=1,"TOP",IF(COUNTIF($C$4:INDEX($C:$C,ROW()-1),IFERROR(LEFT(C230,FIND("@",SUBSTITUTE(C230,"/","@",LEN(C230)-LEN(SUBSTITUTE(C230,"/",""))))-1),"ROOT"))&gt;0,"OK","CHECK")))</f>
        <v/>
      </c>
      <c r="L230" s="26" t="str">
        <f t="shared" si="33"/>
        <v/>
      </c>
      <c r="M230" s="26" t="str">
        <f t="shared" si="34"/>
        <v/>
      </c>
      <c r="N230" s="26" t="str">
        <f t="shared" si="35"/>
        <v/>
      </c>
    </row>
    <row r="231" spans="1:14" ht="22" customHeight="1" x14ac:dyDescent="0.25">
      <c r="A231" s="27"/>
      <c r="B231" s="10"/>
      <c r="C231" s="10"/>
      <c r="D231" s="10"/>
      <c r="E231" s="34" t="str">
        <f t="shared" si="27"/>
        <v/>
      </c>
      <c r="F231" s="25" t="str">
        <f t="shared" si="28"/>
        <v/>
      </c>
      <c r="G231" s="25" t="str">
        <f t="shared" si="29"/>
        <v/>
      </c>
      <c r="H231" s="25" t="str">
        <f t="shared" si="30"/>
        <v/>
      </c>
      <c r="I231" s="25" t="str">
        <f t="shared" si="31"/>
        <v/>
      </c>
      <c r="J231" s="26" t="str">
        <f t="shared" si="32"/>
        <v/>
      </c>
      <c r="K231" s="26" t="str">
        <f>IF(C231="","",IF(LEN(C231)-LEN(SUBSTITUTE(C231,"/",""))+1=1,"TOP",IF(COUNTIF($C$4:INDEX($C:$C,ROW()-1),IFERROR(LEFT(C231,FIND("@",SUBSTITUTE(C231,"/","@",LEN(C231)-LEN(SUBSTITUTE(C231,"/",""))))-1),"ROOT"))&gt;0,"OK","CHECK")))</f>
        <v/>
      </c>
      <c r="L231" s="26" t="str">
        <f t="shared" si="33"/>
        <v/>
      </c>
      <c r="M231" s="26" t="str">
        <f t="shared" si="34"/>
        <v/>
      </c>
      <c r="N231" s="26" t="str">
        <f t="shared" si="35"/>
        <v/>
      </c>
    </row>
    <row r="232" spans="1:14" ht="22" customHeight="1" x14ac:dyDescent="0.25">
      <c r="A232" s="27"/>
      <c r="B232" s="10"/>
      <c r="C232" s="10"/>
      <c r="D232" s="10"/>
      <c r="E232" s="34" t="str">
        <f t="shared" si="27"/>
        <v/>
      </c>
      <c r="F232" s="25" t="str">
        <f t="shared" si="28"/>
        <v/>
      </c>
      <c r="G232" s="25" t="str">
        <f t="shared" si="29"/>
        <v/>
      </c>
      <c r="H232" s="25" t="str">
        <f t="shared" si="30"/>
        <v/>
      </c>
      <c r="I232" s="25" t="str">
        <f t="shared" si="31"/>
        <v/>
      </c>
      <c r="J232" s="26" t="str">
        <f t="shared" si="32"/>
        <v/>
      </c>
      <c r="K232" s="26" t="str">
        <f>IF(C232="","",IF(LEN(C232)-LEN(SUBSTITUTE(C232,"/",""))+1=1,"TOP",IF(COUNTIF($C$4:INDEX($C:$C,ROW()-1),IFERROR(LEFT(C232,FIND("@",SUBSTITUTE(C232,"/","@",LEN(C232)-LEN(SUBSTITUTE(C232,"/",""))))-1),"ROOT"))&gt;0,"OK","CHECK")))</f>
        <v/>
      </c>
      <c r="L232" s="26" t="str">
        <f t="shared" si="33"/>
        <v/>
      </c>
      <c r="M232" s="26" t="str">
        <f t="shared" si="34"/>
        <v/>
      </c>
      <c r="N232" s="26" t="str">
        <f t="shared" si="35"/>
        <v/>
      </c>
    </row>
    <row r="233" spans="1:14" ht="22" customHeight="1" x14ac:dyDescent="0.25">
      <c r="A233" s="27"/>
      <c r="B233" s="10"/>
      <c r="C233" s="10"/>
      <c r="D233" s="10"/>
      <c r="E233" s="34" t="str">
        <f t="shared" si="27"/>
        <v/>
      </c>
      <c r="F233" s="25" t="str">
        <f t="shared" si="28"/>
        <v/>
      </c>
      <c r="G233" s="25" t="str">
        <f t="shared" si="29"/>
        <v/>
      </c>
      <c r="H233" s="25" t="str">
        <f t="shared" si="30"/>
        <v/>
      </c>
      <c r="I233" s="25" t="str">
        <f t="shared" si="31"/>
        <v/>
      </c>
      <c r="J233" s="26" t="str">
        <f t="shared" si="32"/>
        <v/>
      </c>
      <c r="K233" s="26" t="str">
        <f>IF(C233="","",IF(LEN(C233)-LEN(SUBSTITUTE(C233,"/",""))+1=1,"TOP",IF(COUNTIF($C$4:INDEX($C:$C,ROW()-1),IFERROR(LEFT(C233,FIND("@",SUBSTITUTE(C233,"/","@",LEN(C233)-LEN(SUBSTITUTE(C233,"/",""))))-1),"ROOT"))&gt;0,"OK","CHECK")))</f>
        <v/>
      </c>
      <c r="L233" s="26" t="str">
        <f t="shared" si="33"/>
        <v/>
      </c>
      <c r="M233" s="26" t="str">
        <f t="shared" si="34"/>
        <v/>
      </c>
      <c r="N233" s="26" t="str">
        <f t="shared" si="35"/>
        <v/>
      </c>
    </row>
    <row r="234" spans="1:14" ht="22" customHeight="1" x14ac:dyDescent="0.25">
      <c r="A234" s="27"/>
      <c r="B234" s="10"/>
      <c r="C234" s="10"/>
      <c r="D234" s="10"/>
      <c r="E234" s="34" t="str">
        <f t="shared" si="27"/>
        <v/>
      </c>
      <c r="F234" s="25" t="str">
        <f t="shared" si="28"/>
        <v/>
      </c>
      <c r="G234" s="25" t="str">
        <f t="shared" si="29"/>
        <v/>
      </c>
      <c r="H234" s="25" t="str">
        <f t="shared" si="30"/>
        <v/>
      </c>
      <c r="I234" s="25" t="str">
        <f t="shared" si="31"/>
        <v/>
      </c>
      <c r="J234" s="26" t="str">
        <f t="shared" si="32"/>
        <v/>
      </c>
      <c r="K234" s="26" t="str">
        <f>IF(C234="","",IF(LEN(C234)-LEN(SUBSTITUTE(C234,"/",""))+1=1,"TOP",IF(COUNTIF($C$4:INDEX($C:$C,ROW()-1),IFERROR(LEFT(C234,FIND("@",SUBSTITUTE(C234,"/","@",LEN(C234)-LEN(SUBSTITUTE(C234,"/",""))))-1),"ROOT"))&gt;0,"OK","CHECK")))</f>
        <v/>
      </c>
      <c r="L234" s="26" t="str">
        <f t="shared" si="33"/>
        <v/>
      </c>
      <c r="M234" s="26" t="str">
        <f t="shared" si="34"/>
        <v/>
      </c>
      <c r="N234" s="26" t="str">
        <f t="shared" si="35"/>
        <v/>
      </c>
    </row>
    <row r="235" spans="1:14" ht="22" customHeight="1" x14ac:dyDescent="0.25">
      <c r="A235" s="27"/>
      <c r="B235" s="10"/>
      <c r="C235" s="10"/>
      <c r="D235" s="10"/>
      <c r="E235" s="34" t="str">
        <f t="shared" si="27"/>
        <v/>
      </c>
      <c r="F235" s="25" t="str">
        <f t="shared" si="28"/>
        <v/>
      </c>
      <c r="G235" s="25" t="str">
        <f t="shared" si="29"/>
        <v/>
      </c>
      <c r="H235" s="25" t="str">
        <f t="shared" si="30"/>
        <v/>
      </c>
      <c r="I235" s="25" t="str">
        <f t="shared" si="31"/>
        <v/>
      </c>
      <c r="J235" s="26" t="str">
        <f t="shared" si="32"/>
        <v/>
      </c>
      <c r="K235" s="26" t="str">
        <f>IF(C235="","",IF(LEN(C235)-LEN(SUBSTITUTE(C235,"/",""))+1=1,"TOP",IF(COUNTIF($C$4:INDEX($C:$C,ROW()-1),IFERROR(LEFT(C235,FIND("@",SUBSTITUTE(C235,"/","@",LEN(C235)-LEN(SUBSTITUTE(C235,"/",""))))-1),"ROOT"))&gt;0,"OK","CHECK")))</f>
        <v/>
      </c>
      <c r="L235" s="26" t="str">
        <f t="shared" si="33"/>
        <v/>
      </c>
      <c r="M235" s="26" t="str">
        <f t="shared" si="34"/>
        <v/>
      </c>
      <c r="N235" s="26" t="str">
        <f t="shared" si="35"/>
        <v/>
      </c>
    </row>
    <row r="236" spans="1:14" ht="22" customHeight="1" x14ac:dyDescent="0.25">
      <c r="A236" s="27"/>
      <c r="B236" s="10"/>
      <c r="C236" s="10"/>
      <c r="D236" s="10"/>
      <c r="E236" s="34" t="str">
        <f t="shared" si="27"/>
        <v/>
      </c>
      <c r="F236" s="25" t="str">
        <f t="shared" si="28"/>
        <v/>
      </c>
      <c r="G236" s="25" t="str">
        <f t="shared" si="29"/>
        <v/>
      </c>
      <c r="H236" s="25" t="str">
        <f t="shared" si="30"/>
        <v/>
      </c>
      <c r="I236" s="25" t="str">
        <f t="shared" si="31"/>
        <v/>
      </c>
      <c r="J236" s="26" t="str">
        <f t="shared" si="32"/>
        <v/>
      </c>
      <c r="K236" s="26" t="str">
        <f>IF(C236="","",IF(LEN(C236)-LEN(SUBSTITUTE(C236,"/",""))+1=1,"TOP",IF(COUNTIF($C$4:INDEX($C:$C,ROW()-1),IFERROR(LEFT(C236,FIND("@",SUBSTITUTE(C236,"/","@",LEN(C236)-LEN(SUBSTITUTE(C236,"/",""))))-1),"ROOT"))&gt;0,"OK","CHECK")))</f>
        <v/>
      </c>
      <c r="L236" s="26" t="str">
        <f t="shared" si="33"/>
        <v/>
      </c>
      <c r="M236" s="26" t="str">
        <f t="shared" si="34"/>
        <v/>
      </c>
      <c r="N236" s="26" t="str">
        <f t="shared" si="35"/>
        <v/>
      </c>
    </row>
    <row r="237" spans="1:14" ht="22" customHeight="1" x14ac:dyDescent="0.25">
      <c r="A237" s="27"/>
      <c r="B237" s="10"/>
      <c r="C237" s="10"/>
      <c r="D237" s="10"/>
      <c r="E237" s="34" t="str">
        <f t="shared" si="27"/>
        <v/>
      </c>
      <c r="F237" s="25" t="str">
        <f t="shared" si="28"/>
        <v/>
      </c>
      <c r="G237" s="25" t="str">
        <f t="shared" si="29"/>
        <v/>
      </c>
      <c r="H237" s="25" t="str">
        <f t="shared" si="30"/>
        <v/>
      </c>
      <c r="I237" s="25" t="str">
        <f t="shared" si="31"/>
        <v/>
      </c>
      <c r="J237" s="26" t="str">
        <f t="shared" si="32"/>
        <v/>
      </c>
      <c r="K237" s="26" t="str">
        <f>IF(C237="","",IF(LEN(C237)-LEN(SUBSTITUTE(C237,"/",""))+1=1,"TOP",IF(COUNTIF($C$4:INDEX($C:$C,ROW()-1),IFERROR(LEFT(C237,FIND("@",SUBSTITUTE(C237,"/","@",LEN(C237)-LEN(SUBSTITUTE(C237,"/",""))))-1),"ROOT"))&gt;0,"OK","CHECK")))</f>
        <v/>
      </c>
      <c r="L237" s="26" t="str">
        <f t="shared" si="33"/>
        <v/>
      </c>
      <c r="M237" s="26" t="str">
        <f t="shared" si="34"/>
        <v/>
      </c>
      <c r="N237" s="26" t="str">
        <f t="shared" si="35"/>
        <v/>
      </c>
    </row>
    <row r="238" spans="1:14" ht="22" customHeight="1" x14ac:dyDescent="0.25">
      <c r="A238" s="27"/>
      <c r="B238" s="10"/>
      <c r="C238" s="10"/>
      <c r="D238" s="10"/>
      <c r="E238" s="34" t="str">
        <f t="shared" si="27"/>
        <v/>
      </c>
      <c r="F238" s="25" t="str">
        <f t="shared" si="28"/>
        <v/>
      </c>
      <c r="G238" s="25" t="str">
        <f t="shared" si="29"/>
        <v/>
      </c>
      <c r="H238" s="25" t="str">
        <f t="shared" si="30"/>
        <v/>
      </c>
      <c r="I238" s="25" t="str">
        <f t="shared" si="31"/>
        <v/>
      </c>
      <c r="J238" s="26" t="str">
        <f t="shared" si="32"/>
        <v/>
      </c>
      <c r="K238" s="26" t="str">
        <f>IF(C238="","",IF(LEN(C238)-LEN(SUBSTITUTE(C238,"/",""))+1=1,"TOP",IF(COUNTIF($C$4:INDEX($C:$C,ROW()-1),IFERROR(LEFT(C238,FIND("@",SUBSTITUTE(C238,"/","@",LEN(C238)-LEN(SUBSTITUTE(C238,"/",""))))-1),"ROOT"))&gt;0,"OK","CHECK")))</f>
        <v/>
      </c>
      <c r="L238" s="26" t="str">
        <f t="shared" si="33"/>
        <v/>
      </c>
      <c r="M238" s="26" t="str">
        <f t="shared" si="34"/>
        <v/>
      </c>
      <c r="N238" s="26" t="str">
        <f t="shared" si="35"/>
        <v/>
      </c>
    </row>
    <row r="239" spans="1:14" ht="22" customHeight="1" x14ac:dyDescent="0.25">
      <c r="A239" s="27"/>
      <c r="B239" s="10"/>
      <c r="C239" s="10"/>
      <c r="D239" s="10"/>
      <c r="E239" s="34" t="str">
        <f t="shared" si="27"/>
        <v/>
      </c>
      <c r="F239" s="25" t="str">
        <f t="shared" si="28"/>
        <v/>
      </c>
      <c r="G239" s="25" t="str">
        <f t="shared" si="29"/>
        <v/>
      </c>
      <c r="H239" s="25" t="str">
        <f t="shared" si="30"/>
        <v/>
      </c>
      <c r="I239" s="25" t="str">
        <f t="shared" si="31"/>
        <v/>
      </c>
      <c r="J239" s="26" t="str">
        <f t="shared" si="32"/>
        <v/>
      </c>
      <c r="K239" s="26" t="str">
        <f>IF(C239="","",IF(LEN(C239)-LEN(SUBSTITUTE(C239,"/",""))+1=1,"TOP",IF(COUNTIF($C$4:INDEX($C:$C,ROW()-1),IFERROR(LEFT(C239,FIND("@",SUBSTITUTE(C239,"/","@",LEN(C239)-LEN(SUBSTITUTE(C239,"/",""))))-1),"ROOT"))&gt;0,"OK","CHECK")))</f>
        <v/>
      </c>
      <c r="L239" s="26" t="str">
        <f t="shared" si="33"/>
        <v/>
      </c>
      <c r="M239" s="26" t="str">
        <f t="shared" si="34"/>
        <v/>
      </c>
      <c r="N239" s="26" t="str">
        <f t="shared" si="35"/>
        <v/>
      </c>
    </row>
    <row r="240" spans="1:14" ht="22" customHeight="1" x14ac:dyDescent="0.25">
      <c r="A240" s="27"/>
      <c r="B240" s="10"/>
      <c r="C240" s="10"/>
      <c r="D240" s="10"/>
      <c r="E240" s="34" t="str">
        <f t="shared" si="27"/>
        <v/>
      </c>
      <c r="F240" s="25" t="str">
        <f t="shared" si="28"/>
        <v/>
      </c>
      <c r="G240" s="25" t="str">
        <f t="shared" si="29"/>
        <v/>
      </c>
      <c r="H240" s="25" t="str">
        <f t="shared" si="30"/>
        <v/>
      </c>
      <c r="I240" s="25" t="str">
        <f t="shared" si="31"/>
        <v/>
      </c>
      <c r="J240" s="26" t="str">
        <f t="shared" si="32"/>
        <v/>
      </c>
      <c r="K240" s="26" t="str">
        <f>IF(C240="","",IF(LEN(C240)-LEN(SUBSTITUTE(C240,"/",""))+1=1,"TOP",IF(COUNTIF($C$4:INDEX($C:$C,ROW()-1),IFERROR(LEFT(C240,FIND("@",SUBSTITUTE(C240,"/","@",LEN(C240)-LEN(SUBSTITUTE(C240,"/",""))))-1),"ROOT"))&gt;0,"OK","CHECK")))</f>
        <v/>
      </c>
      <c r="L240" s="26" t="str">
        <f t="shared" si="33"/>
        <v/>
      </c>
      <c r="M240" s="26" t="str">
        <f t="shared" si="34"/>
        <v/>
      </c>
      <c r="N240" s="26" t="str">
        <f t="shared" si="35"/>
        <v/>
      </c>
    </row>
    <row r="241" spans="1:14" ht="22" customHeight="1" x14ac:dyDescent="0.25">
      <c r="A241" s="27"/>
      <c r="B241" s="10"/>
      <c r="C241" s="10"/>
      <c r="D241" s="10"/>
      <c r="E241" s="34" t="str">
        <f t="shared" si="27"/>
        <v/>
      </c>
      <c r="F241" s="25" t="str">
        <f t="shared" si="28"/>
        <v/>
      </c>
      <c r="G241" s="25" t="str">
        <f t="shared" si="29"/>
        <v/>
      </c>
      <c r="H241" s="25" t="str">
        <f t="shared" si="30"/>
        <v/>
      </c>
      <c r="I241" s="25" t="str">
        <f t="shared" si="31"/>
        <v/>
      </c>
      <c r="J241" s="26" t="str">
        <f t="shared" si="32"/>
        <v/>
      </c>
      <c r="K241" s="26" t="str">
        <f>IF(C241="","",IF(LEN(C241)-LEN(SUBSTITUTE(C241,"/",""))+1=1,"TOP",IF(COUNTIF($C$4:INDEX($C:$C,ROW()-1),IFERROR(LEFT(C241,FIND("@",SUBSTITUTE(C241,"/","@",LEN(C241)-LEN(SUBSTITUTE(C241,"/",""))))-1),"ROOT"))&gt;0,"OK","CHECK")))</f>
        <v/>
      </c>
      <c r="L241" s="26" t="str">
        <f t="shared" si="33"/>
        <v/>
      </c>
      <c r="M241" s="26" t="str">
        <f t="shared" si="34"/>
        <v/>
      </c>
      <c r="N241" s="26" t="str">
        <f t="shared" si="35"/>
        <v/>
      </c>
    </row>
    <row r="242" spans="1:14" ht="22" customHeight="1" x14ac:dyDescent="0.25">
      <c r="A242" s="27"/>
      <c r="B242" s="10"/>
      <c r="C242" s="10"/>
      <c r="D242" s="10"/>
      <c r="E242" s="34" t="str">
        <f t="shared" si="27"/>
        <v/>
      </c>
      <c r="F242" s="25" t="str">
        <f t="shared" si="28"/>
        <v/>
      </c>
      <c r="G242" s="25" t="str">
        <f t="shared" si="29"/>
        <v/>
      </c>
      <c r="H242" s="25" t="str">
        <f t="shared" si="30"/>
        <v/>
      </c>
      <c r="I242" s="25" t="str">
        <f t="shared" si="31"/>
        <v/>
      </c>
      <c r="J242" s="26" t="str">
        <f t="shared" si="32"/>
        <v/>
      </c>
      <c r="K242" s="26" t="str">
        <f>IF(C242="","",IF(LEN(C242)-LEN(SUBSTITUTE(C242,"/",""))+1=1,"TOP",IF(COUNTIF($C$4:INDEX($C:$C,ROW()-1),IFERROR(LEFT(C242,FIND("@",SUBSTITUTE(C242,"/","@",LEN(C242)-LEN(SUBSTITUTE(C242,"/",""))))-1),"ROOT"))&gt;0,"OK","CHECK")))</f>
        <v/>
      </c>
      <c r="L242" s="26" t="str">
        <f t="shared" si="33"/>
        <v/>
      </c>
      <c r="M242" s="26" t="str">
        <f t="shared" si="34"/>
        <v/>
      </c>
      <c r="N242" s="26" t="str">
        <f t="shared" si="35"/>
        <v/>
      </c>
    </row>
    <row r="243" spans="1:14" ht="22" customHeight="1" x14ac:dyDescent="0.25">
      <c r="A243" s="27"/>
      <c r="B243" s="10"/>
      <c r="C243" s="10"/>
      <c r="D243" s="10"/>
      <c r="E243" s="34" t="str">
        <f t="shared" si="27"/>
        <v/>
      </c>
      <c r="F243" s="25" t="str">
        <f t="shared" si="28"/>
        <v/>
      </c>
      <c r="G243" s="25" t="str">
        <f t="shared" si="29"/>
        <v/>
      </c>
      <c r="H243" s="25" t="str">
        <f t="shared" si="30"/>
        <v/>
      </c>
      <c r="I243" s="25" t="str">
        <f t="shared" si="31"/>
        <v/>
      </c>
      <c r="J243" s="26" t="str">
        <f t="shared" si="32"/>
        <v/>
      </c>
      <c r="K243" s="26" t="str">
        <f>IF(C243="","",IF(LEN(C243)-LEN(SUBSTITUTE(C243,"/",""))+1=1,"TOP",IF(COUNTIF($C$4:INDEX($C:$C,ROW()-1),IFERROR(LEFT(C243,FIND("@",SUBSTITUTE(C243,"/","@",LEN(C243)-LEN(SUBSTITUTE(C243,"/",""))))-1),"ROOT"))&gt;0,"OK","CHECK")))</f>
        <v/>
      </c>
      <c r="L243" s="26" t="str">
        <f t="shared" si="33"/>
        <v/>
      </c>
      <c r="M243" s="26" t="str">
        <f t="shared" si="34"/>
        <v/>
      </c>
      <c r="N243" s="26" t="str">
        <f t="shared" si="35"/>
        <v/>
      </c>
    </row>
    <row r="244" spans="1:14" ht="22" customHeight="1" x14ac:dyDescent="0.25">
      <c r="A244" s="27"/>
      <c r="B244" s="10"/>
      <c r="C244" s="10"/>
      <c r="D244" s="10"/>
      <c r="E244" s="34" t="str">
        <f t="shared" si="27"/>
        <v/>
      </c>
      <c r="F244" s="25" t="str">
        <f t="shared" si="28"/>
        <v/>
      </c>
      <c r="G244" s="25" t="str">
        <f t="shared" si="29"/>
        <v/>
      </c>
      <c r="H244" s="25" t="str">
        <f t="shared" si="30"/>
        <v/>
      </c>
      <c r="I244" s="25" t="str">
        <f t="shared" si="31"/>
        <v/>
      </c>
      <c r="J244" s="26" t="str">
        <f t="shared" si="32"/>
        <v/>
      </c>
      <c r="K244" s="26" t="str">
        <f>IF(C244="","",IF(LEN(C244)-LEN(SUBSTITUTE(C244,"/",""))+1=1,"TOP",IF(COUNTIF($C$4:INDEX($C:$C,ROW()-1),IFERROR(LEFT(C244,FIND("@",SUBSTITUTE(C244,"/","@",LEN(C244)-LEN(SUBSTITUTE(C244,"/",""))))-1),"ROOT"))&gt;0,"OK","CHECK")))</f>
        <v/>
      </c>
      <c r="L244" s="26" t="str">
        <f t="shared" si="33"/>
        <v/>
      </c>
      <c r="M244" s="26" t="str">
        <f t="shared" si="34"/>
        <v/>
      </c>
      <c r="N244" s="26" t="str">
        <f t="shared" si="35"/>
        <v/>
      </c>
    </row>
    <row r="245" spans="1:14" ht="22" customHeight="1" x14ac:dyDescent="0.25">
      <c r="A245" s="27"/>
      <c r="B245" s="10"/>
      <c r="C245" s="10"/>
      <c r="D245" s="10"/>
      <c r="E245" s="34" t="str">
        <f t="shared" si="27"/>
        <v/>
      </c>
      <c r="F245" s="25" t="str">
        <f t="shared" si="28"/>
        <v/>
      </c>
      <c r="G245" s="25" t="str">
        <f t="shared" si="29"/>
        <v/>
      </c>
      <c r="H245" s="25" t="str">
        <f t="shared" si="30"/>
        <v/>
      </c>
      <c r="I245" s="25" t="str">
        <f t="shared" si="31"/>
        <v/>
      </c>
      <c r="J245" s="26" t="str">
        <f t="shared" si="32"/>
        <v/>
      </c>
      <c r="K245" s="26" t="str">
        <f>IF(C245="","",IF(LEN(C245)-LEN(SUBSTITUTE(C245,"/",""))+1=1,"TOP",IF(COUNTIF($C$4:INDEX($C:$C,ROW()-1),IFERROR(LEFT(C245,FIND("@",SUBSTITUTE(C245,"/","@",LEN(C245)-LEN(SUBSTITUTE(C245,"/",""))))-1),"ROOT"))&gt;0,"OK","CHECK")))</f>
        <v/>
      </c>
      <c r="L245" s="26" t="str">
        <f t="shared" si="33"/>
        <v/>
      </c>
      <c r="M245" s="26" t="str">
        <f t="shared" si="34"/>
        <v/>
      </c>
      <c r="N245" s="26" t="str">
        <f t="shared" si="35"/>
        <v/>
      </c>
    </row>
    <row r="246" spans="1:14" ht="22" customHeight="1" x14ac:dyDescent="0.25">
      <c r="A246" s="27"/>
      <c r="B246" s="10"/>
      <c r="C246" s="10"/>
      <c r="D246" s="10"/>
      <c r="E246" s="34" t="str">
        <f t="shared" si="27"/>
        <v/>
      </c>
      <c r="F246" s="25" t="str">
        <f t="shared" si="28"/>
        <v/>
      </c>
      <c r="G246" s="25" t="str">
        <f t="shared" si="29"/>
        <v/>
      </c>
      <c r="H246" s="25" t="str">
        <f t="shared" si="30"/>
        <v/>
      </c>
      <c r="I246" s="25" t="str">
        <f t="shared" si="31"/>
        <v/>
      </c>
      <c r="J246" s="26" t="str">
        <f t="shared" si="32"/>
        <v/>
      </c>
      <c r="K246" s="26" t="str">
        <f>IF(C246="","",IF(LEN(C246)-LEN(SUBSTITUTE(C246,"/",""))+1=1,"TOP",IF(COUNTIF($C$4:INDEX($C:$C,ROW()-1),IFERROR(LEFT(C246,FIND("@",SUBSTITUTE(C246,"/","@",LEN(C246)-LEN(SUBSTITUTE(C246,"/",""))))-1),"ROOT"))&gt;0,"OK","CHECK")))</f>
        <v/>
      </c>
      <c r="L246" s="26" t="str">
        <f t="shared" si="33"/>
        <v/>
      </c>
      <c r="M246" s="26" t="str">
        <f t="shared" si="34"/>
        <v/>
      </c>
      <c r="N246" s="26" t="str">
        <f t="shared" si="35"/>
        <v/>
      </c>
    </row>
    <row r="247" spans="1:14" ht="22" customHeight="1" x14ac:dyDescent="0.25">
      <c r="A247" s="27"/>
      <c r="B247" s="10"/>
      <c r="C247" s="10"/>
      <c r="D247" s="10"/>
      <c r="E247" s="34" t="str">
        <f t="shared" si="27"/>
        <v/>
      </c>
      <c r="F247" s="25" t="str">
        <f t="shared" si="28"/>
        <v/>
      </c>
      <c r="G247" s="25" t="str">
        <f t="shared" si="29"/>
        <v/>
      </c>
      <c r="H247" s="25" t="str">
        <f t="shared" si="30"/>
        <v/>
      </c>
      <c r="I247" s="25" t="str">
        <f t="shared" si="31"/>
        <v/>
      </c>
      <c r="J247" s="26" t="str">
        <f t="shared" si="32"/>
        <v/>
      </c>
      <c r="K247" s="26" t="str">
        <f>IF(C247="","",IF(LEN(C247)-LEN(SUBSTITUTE(C247,"/",""))+1=1,"TOP",IF(COUNTIF($C$4:INDEX($C:$C,ROW()-1),IFERROR(LEFT(C247,FIND("@",SUBSTITUTE(C247,"/","@",LEN(C247)-LEN(SUBSTITUTE(C247,"/",""))))-1),"ROOT"))&gt;0,"OK","CHECK")))</f>
        <v/>
      </c>
      <c r="L247" s="26" t="str">
        <f t="shared" si="33"/>
        <v/>
      </c>
      <c r="M247" s="26" t="str">
        <f t="shared" si="34"/>
        <v/>
      </c>
      <c r="N247" s="26" t="str">
        <f t="shared" si="35"/>
        <v/>
      </c>
    </row>
    <row r="248" spans="1:14" ht="22" customHeight="1" x14ac:dyDescent="0.25">
      <c r="A248" s="27"/>
      <c r="B248" s="10"/>
      <c r="C248" s="10"/>
      <c r="D248" s="10"/>
      <c r="E248" s="34" t="str">
        <f t="shared" si="27"/>
        <v/>
      </c>
      <c r="F248" s="25" t="str">
        <f t="shared" si="28"/>
        <v/>
      </c>
      <c r="G248" s="25" t="str">
        <f t="shared" si="29"/>
        <v/>
      </c>
      <c r="H248" s="25" t="str">
        <f t="shared" si="30"/>
        <v/>
      </c>
      <c r="I248" s="25" t="str">
        <f t="shared" si="31"/>
        <v/>
      </c>
      <c r="J248" s="26" t="str">
        <f t="shared" si="32"/>
        <v/>
      </c>
      <c r="K248" s="26" t="str">
        <f>IF(C248="","",IF(LEN(C248)-LEN(SUBSTITUTE(C248,"/",""))+1=1,"TOP",IF(COUNTIF($C$4:INDEX($C:$C,ROW()-1),IFERROR(LEFT(C248,FIND("@",SUBSTITUTE(C248,"/","@",LEN(C248)-LEN(SUBSTITUTE(C248,"/",""))))-1),"ROOT"))&gt;0,"OK","CHECK")))</f>
        <v/>
      </c>
      <c r="L248" s="26" t="str">
        <f t="shared" si="33"/>
        <v/>
      </c>
      <c r="M248" s="26" t="str">
        <f t="shared" si="34"/>
        <v/>
      </c>
      <c r="N248" s="26" t="str">
        <f t="shared" si="35"/>
        <v/>
      </c>
    </row>
    <row r="249" spans="1:14" ht="22" customHeight="1" x14ac:dyDescent="0.25">
      <c r="A249" s="27"/>
      <c r="B249" s="10"/>
      <c r="C249" s="10"/>
      <c r="D249" s="10"/>
      <c r="E249" s="34" t="str">
        <f t="shared" si="27"/>
        <v/>
      </c>
      <c r="F249" s="25" t="str">
        <f t="shared" si="28"/>
        <v/>
      </c>
      <c r="G249" s="25" t="str">
        <f t="shared" si="29"/>
        <v/>
      </c>
      <c r="H249" s="25" t="str">
        <f t="shared" si="30"/>
        <v/>
      </c>
      <c r="I249" s="25" t="str">
        <f t="shared" si="31"/>
        <v/>
      </c>
      <c r="J249" s="26" t="str">
        <f t="shared" si="32"/>
        <v/>
      </c>
      <c r="K249" s="26" t="str">
        <f>IF(C249="","",IF(LEN(C249)-LEN(SUBSTITUTE(C249,"/",""))+1=1,"TOP",IF(COUNTIF($C$4:INDEX($C:$C,ROW()-1),IFERROR(LEFT(C249,FIND("@",SUBSTITUTE(C249,"/","@",LEN(C249)-LEN(SUBSTITUTE(C249,"/",""))))-1),"ROOT"))&gt;0,"OK","CHECK")))</f>
        <v/>
      </c>
      <c r="L249" s="26" t="str">
        <f t="shared" si="33"/>
        <v/>
      </c>
      <c r="M249" s="26" t="str">
        <f t="shared" si="34"/>
        <v/>
      </c>
      <c r="N249" s="26" t="str">
        <f t="shared" si="35"/>
        <v/>
      </c>
    </row>
    <row r="250" spans="1:14" ht="22" customHeight="1" x14ac:dyDescent="0.25">
      <c r="A250" s="27"/>
      <c r="B250" s="10"/>
      <c r="C250" s="10"/>
      <c r="D250" s="10"/>
      <c r="E250" s="34" t="str">
        <f t="shared" si="27"/>
        <v/>
      </c>
      <c r="F250" s="25" t="str">
        <f t="shared" si="28"/>
        <v/>
      </c>
      <c r="G250" s="25" t="str">
        <f t="shared" si="29"/>
        <v/>
      </c>
      <c r="H250" s="25" t="str">
        <f t="shared" si="30"/>
        <v/>
      </c>
      <c r="I250" s="25" t="str">
        <f t="shared" si="31"/>
        <v/>
      </c>
      <c r="J250" s="26" t="str">
        <f t="shared" si="32"/>
        <v/>
      </c>
      <c r="K250" s="26" t="str">
        <f>IF(C250="","",IF(LEN(C250)-LEN(SUBSTITUTE(C250,"/",""))+1=1,"TOP",IF(COUNTIF($C$4:INDEX($C:$C,ROW()-1),IFERROR(LEFT(C250,FIND("@",SUBSTITUTE(C250,"/","@",LEN(C250)-LEN(SUBSTITUTE(C250,"/",""))))-1),"ROOT"))&gt;0,"OK","CHECK")))</f>
        <v/>
      </c>
      <c r="L250" s="26" t="str">
        <f t="shared" si="33"/>
        <v/>
      </c>
      <c r="M250" s="26" t="str">
        <f t="shared" si="34"/>
        <v/>
      </c>
      <c r="N250" s="26" t="str">
        <f t="shared" si="35"/>
        <v/>
      </c>
    </row>
    <row r="251" spans="1:14" ht="22" customHeight="1" x14ac:dyDescent="0.25">
      <c r="A251" s="27"/>
      <c r="B251" s="10"/>
      <c r="C251" s="10"/>
      <c r="D251" s="10"/>
      <c r="E251" s="34" t="str">
        <f t="shared" si="27"/>
        <v/>
      </c>
      <c r="F251" s="25" t="str">
        <f t="shared" si="28"/>
        <v/>
      </c>
      <c r="G251" s="25" t="str">
        <f t="shared" si="29"/>
        <v/>
      </c>
      <c r="H251" s="25" t="str">
        <f t="shared" si="30"/>
        <v/>
      </c>
      <c r="I251" s="25" t="str">
        <f t="shared" si="31"/>
        <v/>
      </c>
      <c r="J251" s="26" t="str">
        <f t="shared" si="32"/>
        <v/>
      </c>
      <c r="K251" s="26" t="str">
        <f>IF(C251="","",IF(LEN(C251)-LEN(SUBSTITUTE(C251,"/",""))+1=1,"TOP",IF(COUNTIF($C$4:INDEX($C:$C,ROW()-1),IFERROR(LEFT(C251,FIND("@",SUBSTITUTE(C251,"/","@",LEN(C251)-LEN(SUBSTITUTE(C251,"/",""))))-1),"ROOT"))&gt;0,"OK","CHECK")))</f>
        <v/>
      </c>
      <c r="L251" s="26" t="str">
        <f t="shared" si="33"/>
        <v/>
      </c>
      <c r="M251" s="26" t="str">
        <f t="shared" si="34"/>
        <v/>
      </c>
      <c r="N251" s="26" t="str">
        <f t="shared" si="35"/>
        <v/>
      </c>
    </row>
    <row r="252" spans="1:14" ht="22" customHeight="1" x14ac:dyDescent="0.25">
      <c r="A252" s="27"/>
      <c r="B252" s="10"/>
      <c r="C252" s="10"/>
      <c r="D252" s="10"/>
      <c r="E252" s="34" t="str">
        <f t="shared" si="27"/>
        <v/>
      </c>
      <c r="F252" s="25" t="str">
        <f t="shared" si="28"/>
        <v/>
      </c>
      <c r="G252" s="25" t="str">
        <f t="shared" si="29"/>
        <v/>
      </c>
      <c r="H252" s="25" t="str">
        <f t="shared" si="30"/>
        <v/>
      </c>
      <c r="I252" s="25" t="str">
        <f t="shared" si="31"/>
        <v/>
      </c>
      <c r="J252" s="26" t="str">
        <f t="shared" si="32"/>
        <v/>
      </c>
      <c r="K252" s="26" t="str">
        <f>IF(C252="","",IF(LEN(C252)-LEN(SUBSTITUTE(C252,"/",""))+1=1,"TOP",IF(COUNTIF($C$4:INDEX($C:$C,ROW()-1),IFERROR(LEFT(C252,FIND("@",SUBSTITUTE(C252,"/","@",LEN(C252)-LEN(SUBSTITUTE(C252,"/",""))))-1),"ROOT"))&gt;0,"OK","CHECK")))</f>
        <v/>
      </c>
      <c r="L252" s="26" t="str">
        <f t="shared" si="33"/>
        <v/>
      </c>
      <c r="M252" s="26" t="str">
        <f t="shared" si="34"/>
        <v/>
      </c>
      <c r="N252" s="26" t="str">
        <f t="shared" si="35"/>
        <v/>
      </c>
    </row>
    <row r="253" spans="1:14" ht="22" customHeight="1" x14ac:dyDescent="0.25">
      <c r="A253" s="27"/>
      <c r="B253" s="10"/>
      <c r="C253" s="10"/>
      <c r="D253" s="10"/>
      <c r="E253" s="34" t="str">
        <f t="shared" si="27"/>
        <v/>
      </c>
      <c r="F253" s="25" t="str">
        <f t="shared" si="28"/>
        <v/>
      </c>
      <c r="G253" s="25" t="str">
        <f t="shared" si="29"/>
        <v/>
      </c>
      <c r="H253" s="25" t="str">
        <f t="shared" si="30"/>
        <v/>
      </c>
      <c r="I253" s="25" t="str">
        <f t="shared" si="31"/>
        <v/>
      </c>
      <c r="J253" s="26" t="str">
        <f t="shared" si="32"/>
        <v/>
      </c>
      <c r="K253" s="26" t="str">
        <f>IF(C253="","",IF(LEN(C253)-LEN(SUBSTITUTE(C253,"/",""))+1=1,"TOP",IF(COUNTIF($C$4:INDEX($C:$C,ROW()-1),IFERROR(LEFT(C253,FIND("@",SUBSTITUTE(C253,"/","@",LEN(C253)-LEN(SUBSTITUTE(C253,"/",""))))-1),"ROOT"))&gt;0,"OK","CHECK")))</f>
        <v/>
      </c>
      <c r="L253" s="26" t="str">
        <f t="shared" si="33"/>
        <v/>
      </c>
      <c r="M253" s="26" t="str">
        <f t="shared" si="34"/>
        <v/>
      </c>
      <c r="N253" s="26" t="str">
        <f t="shared" si="35"/>
        <v/>
      </c>
    </row>
    <row r="254" spans="1:14" ht="22" customHeight="1" x14ac:dyDescent="0.25">
      <c r="A254" s="27"/>
      <c r="B254" s="10"/>
      <c r="C254" s="10"/>
      <c r="D254" s="10"/>
      <c r="E254" s="34" t="str">
        <f t="shared" si="27"/>
        <v/>
      </c>
      <c r="F254" s="25" t="str">
        <f t="shared" si="28"/>
        <v/>
      </c>
      <c r="G254" s="25" t="str">
        <f t="shared" si="29"/>
        <v/>
      </c>
      <c r="H254" s="25" t="str">
        <f t="shared" si="30"/>
        <v/>
      </c>
      <c r="I254" s="25" t="str">
        <f t="shared" si="31"/>
        <v/>
      </c>
      <c r="J254" s="26" t="str">
        <f t="shared" si="32"/>
        <v/>
      </c>
      <c r="K254" s="26" t="str">
        <f>IF(C254="","",IF(LEN(C254)-LEN(SUBSTITUTE(C254,"/",""))+1=1,"TOP",IF(COUNTIF($C$4:INDEX($C:$C,ROW()-1),IFERROR(LEFT(C254,FIND("@",SUBSTITUTE(C254,"/","@",LEN(C254)-LEN(SUBSTITUTE(C254,"/",""))))-1),"ROOT"))&gt;0,"OK","CHECK")))</f>
        <v/>
      </c>
      <c r="L254" s="26" t="str">
        <f t="shared" si="33"/>
        <v/>
      </c>
      <c r="M254" s="26" t="str">
        <f t="shared" si="34"/>
        <v/>
      </c>
      <c r="N254" s="26" t="str">
        <f t="shared" si="35"/>
        <v/>
      </c>
    </row>
    <row r="255" spans="1:14" ht="22" customHeight="1" x14ac:dyDescent="0.25">
      <c r="A255" s="27"/>
      <c r="B255" s="10"/>
      <c r="C255" s="10"/>
      <c r="D255" s="10"/>
      <c r="E255" s="34" t="str">
        <f t="shared" si="27"/>
        <v/>
      </c>
      <c r="F255" s="25" t="str">
        <f t="shared" si="28"/>
        <v/>
      </c>
      <c r="G255" s="25" t="str">
        <f t="shared" si="29"/>
        <v/>
      </c>
      <c r="H255" s="25" t="str">
        <f t="shared" si="30"/>
        <v/>
      </c>
      <c r="I255" s="25" t="str">
        <f t="shared" si="31"/>
        <v/>
      </c>
      <c r="J255" s="26" t="str">
        <f t="shared" si="32"/>
        <v/>
      </c>
      <c r="K255" s="26" t="str">
        <f>IF(C255="","",IF(LEN(C255)-LEN(SUBSTITUTE(C255,"/",""))+1=1,"TOP",IF(COUNTIF($C$4:INDEX($C:$C,ROW()-1),IFERROR(LEFT(C255,FIND("@",SUBSTITUTE(C255,"/","@",LEN(C255)-LEN(SUBSTITUTE(C255,"/",""))))-1),"ROOT"))&gt;0,"OK","CHECK")))</f>
        <v/>
      </c>
      <c r="L255" s="26" t="str">
        <f t="shared" si="33"/>
        <v/>
      </c>
      <c r="M255" s="26" t="str">
        <f t="shared" si="34"/>
        <v/>
      </c>
      <c r="N255" s="26" t="str">
        <f t="shared" si="35"/>
        <v/>
      </c>
    </row>
    <row r="256" spans="1:14" ht="22" customHeight="1" x14ac:dyDescent="0.25">
      <c r="A256" s="27"/>
      <c r="B256" s="10"/>
      <c r="C256" s="10"/>
      <c r="D256" s="10"/>
      <c r="E256" s="34" t="str">
        <f t="shared" si="27"/>
        <v/>
      </c>
      <c r="F256" s="25" t="str">
        <f t="shared" si="28"/>
        <v/>
      </c>
      <c r="G256" s="25" t="str">
        <f t="shared" si="29"/>
        <v/>
      </c>
      <c r="H256" s="25" t="str">
        <f t="shared" si="30"/>
        <v/>
      </c>
      <c r="I256" s="25" t="str">
        <f t="shared" si="31"/>
        <v/>
      </c>
      <c r="J256" s="26" t="str">
        <f t="shared" si="32"/>
        <v/>
      </c>
      <c r="K256" s="26" t="str">
        <f>IF(C256="","",IF(LEN(C256)-LEN(SUBSTITUTE(C256,"/",""))+1=1,"TOP",IF(COUNTIF($C$4:INDEX($C:$C,ROW()-1),IFERROR(LEFT(C256,FIND("@",SUBSTITUTE(C256,"/","@",LEN(C256)-LEN(SUBSTITUTE(C256,"/",""))))-1),"ROOT"))&gt;0,"OK","CHECK")))</f>
        <v/>
      </c>
      <c r="L256" s="26" t="str">
        <f t="shared" si="33"/>
        <v/>
      </c>
      <c r="M256" s="26" t="str">
        <f t="shared" si="34"/>
        <v/>
      </c>
      <c r="N256" s="26" t="str">
        <f t="shared" si="35"/>
        <v/>
      </c>
    </row>
    <row r="257" spans="1:14" ht="22" customHeight="1" x14ac:dyDescent="0.25">
      <c r="A257" s="27"/>
      <c r="B257" s="10"/>
      <c r="C257" s="10"/>
      <c r="D257" s="10"/>
      <c r="E257" s="34" t="str">
        <f t="shared" si="27"/>
        <v/>
      </c>
      <c r="F257" s="25" t="str">
        <f t="shared" si="28"/>
        <v/>
      </c>
      <c r="G257" s="25" t="str">
        <f t="shared" si="29"/>
        <v/>
      </c>
      <c r="H257" s="25" t="str">
        <f t="shared" si="30"/>
        <v/>
      </c>
      <c r="I257" s="25" t="str">
        <f t="shared" si="31"/>
        <v/>
      </c>
      <c r="J257" s="26" t="str">
        <f t="shared" si="32"/>
        <v/>
      </c>
      <c r="K257" s="26" t="str">
        <f>IF(C257="","",IF(LEN(C257)-LEN(SUBSTITUTE(C257,"/",""))+1=1,"TOP",IF(COUNTIF($C$4:INDEX($C:$C,ROW()-1),IFERROR(LEFT(C257,FIND("@",SUBSTITUTE(C257,"/","@",LEN(C257)-LEN(SUBSTITUTE(C257,"/",""))))-1),"ROOT"))&gt;0,"OK","CHECK")))</f>
        <v/>
      </c>
      <c r="L257" s="26" t="str">
        <f t="shared" si="33"/>
        <v/>
      </c>
      <c r="M257" s="26" t="str">
        <f t="shared" si="34"/>
        <v/>
      </c>
      <c r="N257" s="26" t="str">
        <f t="shared" si="35"/>
        <v/>
      </c>
    </row>
    <row r="258" spans="1:14" ht="22" customHeight="1" x14ac:dyDescent="0.25">
      <c r="A258" s="27"/>
      <c r="B258" s="10"/>
      <c r="C258" s="10"/>
      <c r="D258" s="10"/>
      <c r="E258" s="34" t="str">
        <f t="shared" si="27"/>
        <v/>
      </c>
      <c r="F258" s="25" t="str">
        <f t="shared" si="28"/>
        <v/>
      </c>
      <c r="G258" s="25" t="str">
        <f t="shared" si="29"/>
        <v/>
      </c>
      <c r="H258" s="25" t="str">
        <f t="shared" si="30"/>
        <v/>
      </c>
      <c r="I258" s="25" t="str">
        <f t="shared" si="31"/>
        <v/>
      </c>
      <c r="J258" s="26" t="str">
        <f t="shared" si="32"/>
        <v/>
      </c>
      <c r="K258" s="26" t="str">
        <f>IF(C258="","",IF(LEN(C258)-LEN(SUBSTITUTE(C258,"/",""))+1=1,"TOP",IF(COUNTIF($C$4:INDEX($C:$C,ROW()-1),IFERROR(LEFT(C258,FIND("@",SUBSTITUTE(C258,"/","@",LEN(C258)-LEN(SUBSTITUTE(C258,"/",""))))-1),"ROOT"))&gt;0,"OK","CHECK")))</f>
        <v/>
      </c>
      <c r="L258" s="26" t="str">
        <f t="shared" si="33"/>
        <v/>
      </c>
      <c r="M258" s="26" t="str">
        <f t="shared" si="34"/>
        <v/>
      </c>
      <c r="N258" s="26" t="str">
        <f t="shared" si="35"/>
        <v/>
      </c>
    </row>
    <row r="259" spans="1:14" ht="22" customHeight="1" x14ac:dyDescent="0.25">
      <c r="A259" s="27"/>
      <c r="B259" s="10"/>
      <c r="C259" s="10"/>
      <c r="D259" s="10"/>
      <c r="E259" s="34" t="str">
        <f t="shared" si="27"/>
        <v/>
      </c>
      <c r="F259" s="25" t="str">
        <f t="shared" si="28"/>
        <v/>
      </c>
      <c r="G259" s="25" t="str">
        <f t="shared" si="29"/>
        <v/>
      </c>
      <c r="H259" s="25" t="str">
        <f t="shared" si="30"/>
        <v/>
      </c>
      <c r="I259" s="25" t="str">
        <f t="shared" si="31"/>
        <v/>
      </c>
      <c r="J259" s="26" t="str">
        <f t="shared" si="32"/>
        <v/>
      </c>
      <c r="K259" s="26" t="str">
        <f>IF(C259="","",IF(LEN(C259)-LEN(SUBSTITUTE(C259,"/",""))+1=1,"TOP",IF(COUNTIF($C$4:INDEX($C:$C,ROW()-1),IFERROR(LEFT(C259,FIND("@",SUBSTITUTE(C259,"/","@",LEN(C259)-LEN(SUBSTITUTE(C259,"/",""))))-1),"ROOT"))&gt;0,"OK","CHECK")))</f>
        <v/>
      </c>
      <c r="L259" s="26" t="str">
        <f t="shared" si="33"/>
        <v/>
      </c>
      <c r="M259" s="26" t="str">
        <f t="shared" si="34"/>
        <v/>
      </c>
      <c r="N259" s="26" t="str">
        <f t="shared" si="35"/>
        <v/>
      </c>
    </row>
    <row r="260" spans="1:14" ht="22" customHeight="1" x14ac:dyDescent="0.25">
      <c r="A260" s="27"/>
      <c r="B260" s="10"/>
      <c r="C260" s="10"/>
      <c r="D260" s="10"/>
      <c r="E260" s="34" t="str">
        <f t="shared" ref="E260:E323" si="36">IF(D260="","",REPT("    ",MAX(F260-1,0))&amp;"|- "&amp;D260)</f>
        <v/>
      </c>
      <c r="F260" s="25" t="str">
        <f t="shared" si="28"/>
        <v/>
      </c>
      <c r="G260" s="25" t="str">
        <f t="shared" si="29"/>
        <v/>
      </c>
      <c r="H260" s="25" t="str">
        <f t="shared" si="30"/>
        <v/>
      </c>
      <c r="I260" s="25" t="str">
        <f t="shared" ref="I260:I323" si="37">IF(H260="","",IF(H260="ROOT","ROOT",IFERROR(RIGHT(H260,LEN(H260)-FIND("@",SUBSTITUTE(H260,"/","@",LEN(H260)-LEN(SUBSTITUTE(H260,"/",""))))),H260)))</f>
        <v/>
      </c>
      <c r="J260" s="26" t="str">
        <f t="shared" si="32"/>
        <v/>
      </c>
      <c r="K260" s="26" t="str">
        <f>IF(C260="","",IF(LEN(C260)-LEN(SUBSTITUTE(C260,"/",""))+1=1,"TOP",IF(COUNTIF($C$4:INDEX($C:$C,ROW()-1),IFERROR(LEFT(C260,FIND("@",SUBSTITUTE(C260,"/","@",LEN(C260)-LEN(SUBSTITUTE(C260,"/",""))))-1),"ROOT"))&gt;0,"OK","CHECK")))</f>
        <v/>
      </c>
      <c r="L260" s="26" t="str">
        <f t="shared" si="33"/>
        <v/>
      </c>
      <c r="M260" s="26" t="str">
        <f t="shared" si="34"/>
        <v/>
      </c>
      <c r="N260" s="26" t="str">
        <f t="shared" ref="N260:N323" si="38">IF(OR(B260="",C260="",D260=""),"",IF(AND(J260="OK",OR(K260="OK",K260="TOP"),L260="OK",M260="OK"),"OK","CHECK"))</f>
        <v/>
      </c>
    </row>
  </sheetData>
  <autoFilter ref="A3:N260" xr:uid="{00000000-0009-0000-0000-000001000000}"/>
  <mergeCells count="4">
    <mergeCell ref="E2:I2"/>
    <mergeCell ref="J2:N2"/>
    <mergeCell ref="A2:D2"/>
    <mergeCell ref="A1:N1"/>
  </mergeCells>
  <phoneticPr fontId="4" type="noConversion"/>
  <conditionalFormatting sqref="A4:N260">
    <cfRule type="expression" dxfId="0" priority="1">
      <formula>$N4="CHECK"</formula>
    </cfRule>
  </conditionalFormatting>
  <dataValidations count="1">
    <dataValidation type="list" allowBlank="1" error="请输入清单中的标准值" prompt="请选择模板允许的标准值" sqref="A4:A260" xr:uid="{00000000-0002-0000-0100-000000000000}">
      <formula1>BusinessDomainList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60"/>
  <sheetViews>
    <sheetView showGridLines="0" tabSelected="1" workbookViewId="0">
      <pane ySplit="3" topLeftCell="A4" activePane="bottomLeft" state="frozen"/>
      <selection pane="bottomLeft" activeCell="J14" sqref="J14"/>
    </sheetView>
  </sheetViews>
  <sheetFormatPr defaultRowHeight="22" customHeight="1" x14ac:dyDescent="0.25"/>
  <cols>
    <col min="1" max="1" width="18" style="20" customWidth="1"/>
    <col min="2" max="2" width="22" style="20" customWidth="1"/>
    <col min="3" max="3" width="18" style="20" customWidth="1"/>
    <col min="4" max="5" width="20" style="20" customWidth="1"/>
    <col min="6" max="6" width="24" style="20" customWidth="1"/>
    <col min="7" max="7" width="14" style="20" customWidth="1"/>
    <col min="8" max="8" width="10" style="20" customWidth="1"/>
    <col min="9" max="9" width="18.08984375" style="20" customWidth="1"/>
    <col min="10" max="10" width="15.453125" style="20" bestFit="1" customWidth="1"/>
    <col min="11" max="11" width="15.54296875" style="20" bestFit="1" customWidth="1"/>
    <col min="12" max="12" width="16.36328125" style="20" bestFit="1" customWidth="1"/>
    <col min="13" max="13" width="15.54296875" style="20" bestFit="1" customWidth="1"/>
    <col min="14" max="14" width="16.08984375" style="20" bestFit="1" customWidth="1"/>
    <col min="15" max="15" width="16.6328125" style="20" bestFit="1" customWidth="1"/>
    <col min="16" max="16" width="16" style="20" bestFit="1" customWidth="1"/>
    <col min="17" max="17" width="13.36328125" style="20" bestFit="1" customWidth="1"/>
    <col min="18" max="18" width="15.7265625" style="20" bestFit="1" customWidth="1"/>
    <col min="19" max="19" width="14.1796875" style="20" customWidth="1"/>
    <col min="20" max="20" width="16.1796875" style="20" customWidth="1"/>
    <col min="21" max="21" width="26.453125" customWidth="1"/>
  </cols>
  <sheetData>
    <row r="1" spans="1:21" ht="22" customHeight="1" x14ac:dyDescent="0.25">
      <c r="A1" s="18" t="s">
        <v>74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ht="22" customHeight="1" thickBo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ht="38.5" customHeight="1" thickBot="1" x14ac:dyDescent="0.3">
      <c r="A3" s="11" t="s">
        <v>46</v>
      </c>
      <c r="B3" s="11" t="s">
        <v>48</v>
      </c>
      <c r="C3" s="11" t="s">
        <v>75</v>
      </c>
      <c r="D3" s="11" t="s">
        <v>76</v>
      </c>
      <c r="E3" s="11" t="s">
        <v>77</v>
      </c>
      <c r="F3" s="11" t="s">
        <v>78</v>
      </c>
      <c r="G3" s="11" t="s">
        <v>79</v>
      </c>
      <c r="H3" s="11" t="s">
        <v>80</v>
      </c>
      <c r="I3" s="11" t="s">
        <v>81</v>
      </c>
      <c r="J3" s="11" t="s">
        <v>82</v>
      </c>
      <c r="K3" s="11" t="s">
        <v>83</v>
      </c>
      <c r="L3" s="11" t="s">
        <v>84</v>
      </c>
      <c r="M3" s="11" t="s">
        <v>85</v>
      </c>
      <c r="N3" s="11" t="s">
        <v>86</v>
      </c>
      <c r="O3" s="11" t="s">
        <v>87</v>
      </c>
      <c r="P3" s="11" t="s">
        <v>88</v>
      </c>
      <c r="Q3" s="11" t="s">
        <v>89</v>
      </c>
      <c r="R3" s="11" t="s">
        <v>90</v>
      </c>
      <c r="S3" s="11" t="s">
        <v>91</v>
      </c>
      <c r="T3" s="11" t="s">
        <v>92</v>
      </c>
      <c r="U3" s="11" t="s">
        <v>93</v>
      </c>
    </row>
    <row r="4" spans="1:21" ht="22" customHeight="1" x14ac:dyDescent="0.25">
      <c r="A4" s="24" t="s">
        <v>71</v>
      </c>
      <c r="B4" s="24" t="s">
        <v>73</v>
      </c>
      <c r="C4" s="24" t="s">
        <v>94</v>
      </c>
      <c r="D4" s="24" t="s">
        <v>95</v>
      </c>
      <c r="E4" s="24" t="s">
        <v>96</v>
      </c>
      <c r="F4" s="24" t="s">
        <v>97</v>
      </c>
      <c r="G4" s="24" t="s">
        <v>98</v>
      </c>
      <c r="H4" s="24" t="s">
        <v>99</v>
      </c>
      <c r="I4" s="24" t="s">
        <v>100</v>
      </c>
      <c r="J4" s="24" t="s">
        <v>102</v>
      </c>
      <c r="K4" s="24" t="s">
        <v>102</v>
      </c>
      <c r="L4" s="24" t="s">
        <v>102</v>
      </c>
      <c r="M4" s="24" t="s">
        <v>102</v>
      </c>
      <c r="N4" s="24" t="s">
        <v>102</v>
      </c>
      <c r="O4" s="24" t="s">
        <v>103</v>
      </c>
      <c r="P4" s="24" t="s">
        <v>104</v>
      </c>
      <c r="Q4" s="24" t="s">
        <v>105</v>
      </c>
      <c r="R4" s="24" t="s">
        <v>106</v>
      </c>
      <c r="S4" s="24"/>
      <c r="T4" s="24"/>
      <c r="U4" s="9"/>
    </row>
    <row r="5" spans="1:21" ht="22" customHeight="1" x14ac:dyDescent="0.25">
      <c r="A5" s="24" t="s">
        <v>71</v>
      </c>
      <c r="B5" s="24" t="s">
        <v>73</v>
      </c>
      <c r="C5" s="24" t="s">
        <v>107</v>
      </c>
      <c r="D5" s="24" t="s">
        <v>108</v>
      </c>
      <c r="E5" s="24" t="s">
        <v>109</v>
      </c>
      <c r="F5" s="24" t="s">
        <v>110</v>
      </c>
      <c r="G5" s="24" t="s">
        <v>111</v>
      </c>
      <c r="H5" s="24" t="s">
        <v>112</v>
      </c>
      <c r="I5" s="24" t="s">
        <v>113</v>
      </c>
      <c r="J5" s="24" t="s">
        <v>102</v>
      </c>
      <c r="K5" s="24" t="s">
        <v>102</v>
      </c>
      <c r="L5" s="24" t="s">
        <v>102</v>
      </c>
      <c r="M5" s="24" t="s">
        <v>102</v>
      </c>
      <c r="N5" s="24" t="s">
        <v>102</v>
      </c>
      <c r="O5" s="24"/>
      <c r="P5" s="24"/>
      <c r="Q5" s="24"/>
      <c r="R5" s="24"/>
      <c r="S5" s="24"/>
      <c r="T5" s="24"/>
      <c r="U5" s="9" t="s">
        <v>114</v>
      </c>
    </row>
    <row r="6" spans="1:21" ht="22" customHeight="1" x14ac:dyDescent="0.25">
      <c r="A6" s="24" t="s">
        <v>71</v>
      </c>
      <c r="B6" s="24" t="s">
        <v>73</v>
      </c>
      <c r="C6" s="24" t="s">
        <v>115</v>
      </c>
      <c r="D6" s="24" t="s">
        <v>116</v>
      </c>
      <c r="E6" s="24" t="s">
        <v>117</v>
      </c>
      <c r="F6" s="24" t="s">
        <v>118</v>
      </c>
      <c r="G6" s="24" t="s">
        <v>119</v>
      </c>
      <c r="H6" s="24"/>
      <c r="I6" s="24" t="s">
        <v>120</v>
      </c>
      <c r="J6" s="24" t="s">
        <v>102</v>
      </c>
      <c r="K6" s="24" t="s">
        <v>102</v>
      </c>
      <c r="L6" s="24" t="s">
        <v>102</v>
      </c>
      <c r="M6" s="24" t="s">
        <v>102</v>
      </c>
      <c r="N6" s="24" t="s">
        <v>102</v>
      </c>
      <c r="O6" s="24"/>
      <c r="P6" s="24"/>
      <c r="Q6" s="24"/>
      <c r="R6" s="24"/>
      <c r="S6" s="24"/>
      <c r="T6" s="24"/>
      <c r="U6" s="9" t="s">
        <v>121</v>
      </c>
    </row>
    <row r="7" spans="1:21" ht="22" customHeight="1" x14ac:dyDescent="0.25">
      <c r="A7" s="24" t="s">
        <v>71</v>
      </c>
      <c r="B7" s="24" t="s">
        <v>73</v>
      </c>
      <c r="C7" s="24" t="s">
        <v>122</v>
      </c>
      <c r="D7" s="24" t="s">
        <v>123</v>
      </c>
      <c r="E7" s="24" t="s">
        <v>124</v>
      </c>
      <c r="F7" s="24" t="s">
        <v>125</v>
      </c>
      <c r="G7" s="24" t="s">
        <v>126</v>
      </c>
      <c r="H7" s="24"/>
      <c r="I7" s="24" t="s">
        <v>127</v>
      </c>
      <c r="J7" s="24" t="s">
        <v>102</v>
      </c>
      <c r="K7" s="24" t="s">
        <v>102</v>
      </c>
      <c r="L7" s="24" t="s">
        <v>102</v>
      </c>
      <c r="M7" s="24" t="s">
        <v>102</v>
      </c>
      <c r="N7" s="24" t="s">
        <v>102</v>
      </c>
      <c r="O7" s="24"/>
      <c r="P7" s="24"/>
      <c r="Q7" s="24"/>
      <c r="R7" s="24"/>
      <c r="S7" s="24" t="s">
        <v>128</v>
      </c>
      <c r="T7" s="24" t="s">
        <v>129</v>
      </c>
      <c r="U7" s="9"/>
    </row>
    <row r="8" spans="1:21" ht="22" customHeight="1" x14ac:dyDescent="0.25">
      <c r="A8" s="24" t="s">
        <v>71</v>
      </c>
      <c r="B8" s="24" t="s">
        <v>73</v>
      </c>
      <c r="C8" s="24" t="s">
        <v>130</v>
      </c>
      <c r="D8" s="24" t="s">
        <v>131</v>
      </c>
      <c r="E8" s="24" t="s">
        <v>132</v>
      </c>
      <c r="F8" s="24" t="s">
        <v>133</v>
      </c>
      <c r="G8" s="24" t="s">
        <v>134</v>
      </c>
      <c r="H8" s="24"/>
      <c r="I8" s="24" t="s">
        <v>135</v>
      </c>
      <c r="J8" s="24" t="s">
        <v>102</v>
      </c>
      <c r="K8" s="24" t="s">
        <v>102</v>
      </c>
      <c r="L8" s="24" t="s">
        <v>102</v>
      </c>
      <c r="M8" s="24" t="s">
        <v>102</v>
      </c>
      <c r="N8" s="24" t="s">
        <v>102</v>
      </c>
      <c r="O8" s="24"/>
      <c r="P8" s="24"/>
      <c r="Q8" s="24"/>
      <c r="R8" s="24"/>
      <c r="S8" s="24"/>
      <c r="T8" s="24"/>
      <c r="U8" s="9"/>
    </row>
    <row r="9" spans="1:21" ht="22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10"/>
    </row>
    <row r="10" spans="1:21" ht="22" customHeight="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10"/>
    </row>
    <row r="11" spans="1:21" ht="22" customHeight="1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10"/>
    </row>
    <row r="12" spans="1:21" ht="22" customHeight="1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10"/>
    </row>
    <row r="13" spans="1:21" ht="22" customHeight="1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10"/>
    </row>
    <row r="14" spans="1:21" ht="22" customHeight="1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10"/>
    </row>
    <row r="15" spans="1:21" ht="22" customHeight="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10"/>
    </row>
    <row r="16" spans="1:21" ht="22" customHeight="1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10"/>
    </row>
    <row r="17" spans="1:21" ht="22" customHeight="1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10"/>
    </row>
    <row r="18" spans="1:21" ht="22" customHeight="1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10"/>
    </row>
    <row r="19" spans="1:21" ht="22" customHeight="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10"/>
    </row>
    <row r="20" spans="1:21" ht="22" customHeight="1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10"/>
    </row>
    <row r="21" spans="1:21" ht="22" customHeight="1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10"/>
    </row>
    <row r="22" spans="1:21" ht="22" customHeight="1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10"/>
    </row>
    <row r="23" spans="1:21" ht="22" customHeight="1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10"/>
    </row>
    <row r="24" spans="1:21" ht="22" customHeight="1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10"/>
    </row>
    <row r="25" spans="1:21" ht="22" customHeight="1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10"/>
    </row>
    <row r="26" spans="1:21" ht="22" customHeight="1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10"/>
    </row>
    <row r="27" spans="1:21" ht="22" customHeight="1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10"/>
    </row>
    <row r="28" spans="1:21" ht="22" customHeight="1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10"/>
    </row>
    <row r="29" spans="1:21" ht="22" customHeight="1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1:21" ht="22" customHeight="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10"/>
    </row>
    <row r="31" spans="1:21" ht="22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10"/>
    </row>
    <row r="32" spans="1:21" ht="22" customHeight="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10"/>
    </row>
    <row r="33" spans="1:21" ht="22" customHeight="1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10"/>
    </row>
    <row r="34" spans="1:21" ht="22" customHeight="1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10"/>
    </row>
    <row r="35" spans="1:21" ht="22" customHeight="1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10"/>
    </row>
    <row r="36" spans="1:21" ht="22" customHeight="1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10"/>
    </row>
    <row r="37" spans="1:21" ht="22" customHeight="1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10"/>
    </row>
    <row r="38" spans="1:21" ht="22" customHeight="1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10"/>
    </row>
    <row r="39" spans="1:21" ht="22" customHeight="1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10"/>
    </row>
    <row r="40" spans="1:21" ht="22" customHeight="1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10"/>
    </row>
    <row r="41" spans="1:21" ht="22" customHeight="1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10"/>
    </row>
    <row r="42" spans="1:21" ht="22" customHeight="1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10"/>
    </row>
    <row r="43" spans="1:21" ht="22" customHeight="1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10"/>
    </row>
    <row r="44" spans="1:21" ht="22" customHeight="1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10"/>
    </row>
    <row r="45" spans="1:21" ht="22" customHeight="1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10"/>
    </row>
    <row r="46" spans="1:21" ht="22" customHeight="1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10"/>
    </row>
    <row r="47" spans="1:21" ht="22" customHeight="1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10"/>
    </row>
    <row r="48" spans="1:21" ht="22" customHeight="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10"/>
    </row>
    <row r="49" spans="1:21" ht="22" customHeight="1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10"/>
    </row>
    <row r="50" spans="1:21" ht="22" customHeight="1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10"/>
    </row>
    <row r="51" spans="1:21" ht="22" customHeight="1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10"/>
    </row>
    <row r="52" spans="1:21" ht="22" customHeight="1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10"/>
    </row>
    <row r="53" spans="1:21" ht="22" customHeight="1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10"/>
    </row>
    <row r="54" spans="1:21" ht="22" customHeight="1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10"/>
    </row>
    <row r="55" spans="1:21" ht="22" customHeight="1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10"/>
    </row>
    <row r="56" spans="1:21" ht="22" customHeight="1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10"/>
    </row>
    <row r="57" spans="1:21" ht="22" customHeight="1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10"/>
    </row>
    <row r="58" spans="1:21" ht="22" customHeight="1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10"/>
    </row>
    <row r="59" spans="1:21" ht="22" customHeight="1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10"/>
    </row>
    <row r="60" spans="1:21" ht="22" customHeight="1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10"/>
    </row>
    <row r="61" spans="1:21" ht="22" customHeight="1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10"/>
    </row>
    <row r="62" spans="1:21" ht="22" customHeight="1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10"/>
    </row>
    <row r="63" spans="1:21" ht="22" customHeigh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10"/>
    </row>
    <row r="64" spans="1:21" ht="22" customHeight="1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10"/>
    </row>
    <row r="65" spans="1:21" ht="22" customHeight="1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10"/>
    </row>
    <row r="66" spans="1:21" ht="22" customHeight="1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10"/>
    </row>
    <row r="67" spans="1:21" ht="22" customHeight="1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10"/>
    </row>
    <row r="68" spans="1:21" ht="22" customHeigh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10"/>
    </row>
    <row r="69" spans="1:21" ht="22" customHeigh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10"/>
    </row>
    <row r="70" spans="1:21" ht="22" customHeigh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10"/>
    </row>
    <row r="71" spans="1:21" ht="22" customHeigh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10"/>
    </row>
    <row r="72" spans="1:21" ht="22" customHeigh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10"/>
    </row>
    <row r="73" spans="1:21" ht="22" customHeigh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10"/>
    </row>
    <row r="74" spans="1:21" ht="22" customHeigh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10"/>
    </row>
    <row r="75" spans="1:21" ht="22" customHeigh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10"/>
    </row>
    <row r="76" spans="1:21" ht="22" customHeigh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10"/>
    </row>
    <row r="77" spans="1:21" ht="22" customHeigh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10"/>
    </row>
    <row r="78" spans="1:21" ht="22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10"/>
    </row>
    <row r="79" spans="1:21" ht="22" customHeigh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10"/>
    </row>
    <row r="80" spans="1:21" ht="22" customHeigh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10"/>
    </row>
    <row r="81" spans="1:21" ht="22" customHeigh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10"/>
    </row>
    <row r="82" spans="1:21" ht="22" customHeigh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10"/>
    </row>
    <row r="83" spans="1:21" ht="22" customHeigh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10"/>
    </row>
    <row r="84" spans="1:21" ht="22" customHeigh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10"/>
    </row>
    <row r="85" spans="1:21" ht="22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10"/>
    </row>
    <row r="86" spans="1:21" ht="22" customHeigh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10"/>
    </row>
    <row r="87" spans="1:21" ht="22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10"/>
    </row>
    <row r="88" spans="1:21" ht="22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10"/>
    </row>
    <row r="89" spans="1:21" ht="22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10"/>
    </row>
    <row r="90" spans="1:21" ht="22" customHeigh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10"/>
    </row>
    <row r="91" spans="1:21" ht="22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10"/>
    </row>
    <row r="92" spans="1:21" ht="22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10"/>
    </row>
    <row r="93" spans="1:21" ht="22" customHeigh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10"/>
    </row>
    <row r="94" spans="1:21" ht="22" customHeigh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10"/>
    </row>
    <row r="95" spans="1:21" ht="22" customHeigh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10"/>
    </row>
    <row r="96" spans="1:21" ht="22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10"/>
    </row>
    <row r="97" spans="1:21" ht="22" customHeigh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10"/>
    </row>
    <row r="98" spans="1:21" ht="22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10"/>
    </row>
    <row r="99" spans="1:21" ht="22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10"/>
    </row>
    <row r="100" spans="1:21" ht="22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10"/>
    </row>
    <row r="101" spans="1:21" ht="22" customHeigh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10"/>
    </row>
    <row r="102" spans="1:21" ht="22" customHeigh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10"/>
    </row>
    <row r="103" spans="1:21" ht="22" customHeight="1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10"/>
    </row>
    <row r="104" spans="1:21" ht="22" customHeight="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10"/>
    </row>
    <row r="105" spans="1:21" ht="22" customHeight="1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10"/>
    </row>
    <row r="106" spans="1:21" ht="22" customHeight="1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10"/>
    </row>
    <row r="107" spans="1:21" ht="22" customHeight="1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10"/>
    </row>
    <row r="108" spans="1:21" ht="22" customHeight="1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10"/>
    </row>
    <row r="109" spans="1:21" ht="22" customHeight="1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10"/>
    </row>
    <row r="110" spans="1:21" ht="22" customHeight="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10"/>
    </row>
    <row r="111" spans="1:21" ht="22" customHeight="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10"/>
    </row>
    <row r="112" spans="1:21" ht="22" customHeight="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10"/>
    </row>
    <row r="113" spans="1:21" ht="22" customHeight="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10"/>
    </row>
    <row r="114" spans="1:21" ht="22" customHeight="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10"/>
    </row>
    <row r="115" spans="1:21" ht="22" customHeight="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10"/>
    </row>
    <row r="116" spans="1:21" ht="22" customHeight="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10"/>
    </row>
    <row r="117" spans="1:21" ht="22" customHeight="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10"/>
    </row>
    <row r="118" spans="1:21" ht="22" customHeight="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10"/>
    </row>
    <row r="119" spans="1:21" ht="22" customHeight="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10"/>
    </row>
    <row r="120" spans="1:21" ht="22" customHeight="1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10"/>
    </row>
    <row r="121" spans="1:21" ht="22" customHeigh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10"/>
    </row>
    <row r="122" spans="1:21" ht="22" customHeigh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10"/>
    </row>
    <row r="123" spans="1:21" ht="22" customHeight="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10"/>
    </row>
    <row r="124" spans="1:21" ht="22" customHeigh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10"/>
    </row>
    <row r="125" spans="1:21" ht="22" customHeigh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10"/>
    </row>
    <row r="126" spans="1:21" ht="22" customHeigh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10"/>
    </row>
    <row r="127" spans="1:21" ht="22" customHeigh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10"/>
    </row>
    <row r="128" spans="1:21" ht="22" customHeigh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10"/>
    </row>
    <row r="129" spans="1:21" ht="22" customHeigh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10"/>
    </row>
    <row r="130" spans="1:21" ht="22" customHeigh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10"/>
    </row>
    <row r="131" spans="1:21" ht="22" customHeigh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10"/>
    </row>
    <row r="132" spans="1:21" ht="22" customHeigh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10"/>
    </row>
    <row r="133" spans="1:21" ht="22" customHeigh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10"/>
    </row>
    <row r="134" spans="1:21" ht="22" customHeigh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10"/>
    </row>
    <row r="135" spans="1:21" ht="22" customHeigh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10"/>
    </row>
    <row r="136" spans="1:21" ht="22" customHeigh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10"/>
    </row>
    <row r="137" spans="1:21" ht="22" customHeigh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10"/>
    </row>
    <row r="138" spans="1:21" ht="22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10"/>
    </row>
    <row r="139" spans="1:21" ht="22" customHeigh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10"/>
    </row>
    <row r="140" spans="1:21" ht="22" customHeigh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10"/>
    </row>
    <row r="141" spans="1:21" ht="22" customHeigh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10"/>
    </row>
    <row r="142" spans="1:21" ht="22" customHeigh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10"/>
    </row>
    <row r="143" spans="1:21" ht="22" customHeigh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10"/>
    </row>
    <row r="144" spans="1:21" ht="22" customHeigh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10"/>
    </row>
    <row r="145" spans="1:21" ht="22" customHeigh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10"/>
    </row>
    <row r="146" spans="1:21" ht="22" customHeigh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10"/>
    </row>
    <row r="147" spans="1:21" ht="22" customHeigh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10"/>
    </row>
    <row r="148" spans="1:21" ht="22" customHeigh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10"/>
    </row>
    <row r="149" spans="1:21" ht="22" customHeigh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10"/>
    </row>
    <row r="150" spans="1:21" ht="22" customHeigh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10"/>
    </row>
    <row r="151" spans="1:21" ht="22" customHeigh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10"/>
    </row>
    <row r="152" spans="1:21" ht="22" customHeigh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10"/>
    </row>
    <row r="153" spans="1:21" ht="22" customHeigh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10"/>
    </row>
    <row r="154" spans="1:21" ht="22" customHeigh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10"/>
    </row>
    <row r="155" spans="1:21" ht="22" customHeigh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10"/>
    </row>
    <row r="156" spans="1:21" ht="22" customHeigh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10"/>
    </row>
    <row r="157" spans="1:21" ht="22" customHeigh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10"/>
    </row>
    <row r="158" spans="1:21" ht="22" customHeigh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10"/>
    </row>
    <row r="159" spans="1:21" ht="22" customHeigh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10"/>
    </row>
    <row r="160" spans="1:21" ht="22" customHeigh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10"/>
    </row>
    <row r="161" spans="1:21" ht="22" customHeigh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10"/>
    </row>
    <row r="162" spans="1:21" ht="22" customHeigh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10"/>
    </row>
    <row r="163" spans="1:21" ht="22" customHeigh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10"/>
    </row>
    <row r="164" spans="1:21" ht="22" customHeigh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10"/>
    </row>
    <row r="165" spans="1:21" ht="22" customHeigh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10"/>
    </row>
    <row r="166" spans="1:21" ht="22" customHeigh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10"/>
    </row>
    <row r="167" spans="1:21" ht="22" customHeigh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10"/>
    </row>
    <row r="168" spans="1:21" ht="22" customHeigh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10"/>
    </row>
    <row r="169" spans="1:21" ht="22" customHeigh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10"/>
    </row>
    <row r="170" spans="1:21" ht="22" customHeigh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10"/>
    </row>
    <row r="171" spans="1:21" ht="22" customHeigh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10"/>
    </row>
    <row r="172" spans="1:21" ht="22" customHeigh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10"/>
    </row>
    <row r="173" spans="1:21" ht="22" customHeigh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10"/>
    </row>
    <row r="174" spans="1:21" ht="22" customHeigh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10"/>
    </row>
    <row r="175" spans="1:21" ht="22" customHeigh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10"/>
    </row>
    <row r="176" spans="1:21" ht="22" customHeigh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10"/>
    </row>
    <row r="177" spans="1:21" ht="22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10"/>
    </row>
    <row r="178" spans="1:21" ht="22" customHeigh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10"/>
    </row>
    <row r="179" spans="1:21" ht="22" customHeigh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10"/>
    </row>
    <row r="180" spans="1:21" ht="22" customHeigh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10"/>
    </row>
    <row r="181" spans="1:21" ht="22" customHeigh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10"/>
    </row>
    <row r="182" spans="1:21" ht="22" customHeigh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10"/>
    </row>
    <row r="183" spans="1:21" ht="22" customHeigh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10"/>
    </row>
    <row r="184" spans="1:21" ht="22" customHeigh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10"/>
    </row>
    <row r="185" spans="1:21" ht="22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10"/>
    </row>
    <row r="186" spans="1:21" ht="22" customHeigh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10"/>
    </row>
    <row r="187" spans="1:21" ht="22" customHeigh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10"/>
    </row>
    <row r="188" spans="1:21" ht="22" customHeigh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10"/>
    </row>
    <row r="189" spans="1:21" ht="22" customHeigh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10"/>
    </row>
    <row r="190" spans="1:21" ht="22" customHeigh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10"/>
    </row>
    <row r="191" spans="1:21" ht="22" customHeigh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10"/>
    </row>
    <row r="192" spans="1:21" ht="22" customHeigh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10"/>
    </row>
    <row r="193" spans="1:21" ht="22" customHeigh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10"/>
    </row>
    <row r="194" spans="1:21" ht="22" customHeigh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10"/>
    </row>
    <row r="195" spans="1:21" ht="22" customHeigh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10"/>
    </row>
    <row r="196" spans="1:21" ht="22" customHeigh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10"/>
    </row>
    <row r="197" spans="1:21" ht="22" customHeigh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10"/>
    </row>
    <row r="198" spans="1:21" ht="22" customHeigh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10"/>
    </row>
    <row r="199" spans="1:21" ht="22" customHeigh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10"/>
    </row>
    <row r="200" spans="1:21" ht="22" customHeigh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10"/>
    </row>
    <row r="201" spans="1:21" ht="22" customHeigh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10"/>
    </row>
    <row r="202" spans="1:21" ht="22" customHeigh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10"/>
    </row>
    <row r="203" spans="1:21" ht="22" customHeigh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10"/>
    </row>
    <row r="204" spans="1:21" ht="22" customHeigh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10"/>
    </row>
    <row r="205" spans="1:21" ht="22" customHeigh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10"/>
    </row>
    <row r="206" spans="1:21" ht="22" customHeigh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10"/>
    </row>
    <row r="207" spans="1:21" ht="22" customHeigh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10"/>
    </row>
    <row r="208" spans="1:21" ht="22" customHeigh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10"/>
    </row>
    <row r="209" spans="1:21" ht="22" customHeigh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10"/>
    </row>
    <row r="210" spans="1:21" ht="22" customHeigh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10"/>
    </row>
    <row r="211" spans="1:21" ht="22" customHeigh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10"/>
    </row>
    <row r="212" spans="1:21" ht="22" customHeigh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10"/>
    </row>
    <row r="213" spans="1:21" ht="22" customHeigh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10"/>
    </row>
    <row r="214" spans="1:21" ht="22" customHeigh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10"/>
    </row>
    <row r="215" spans="1:21" ht="22" customHeigh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10"/>
    </row>
    <row r="216" spans="1:21" ht="22" customHeigh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10"/>
    </row>
    <row r="217" spans="1:21" ht="22" customHeigh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10"/>
    </row>
    <row r="218" spans="1:21" ht="22" customHeigh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10"/>
    </row>
    <row r="219" spans="1:21" ht="22" customHeigh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10"/>
    </row>
    <row r="220" spans="1:21" ht="22" customHeigh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10"/>
    </row>
    <row r="221" spans="1:21" ht="22" customHeight="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10"/>
    </row>
    <row r="222" spans="1:21" ht="22" customHeight="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10"/>
    </row>
    <row r="223" spans="1:21" ht="22" customHeight="1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10"/>
    </row>
    <row r="224" spans="1:21" ht="22" customHeight="1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10"/>
    </row>
    <row r="225" spans="1:21" ht="22" customHeight="1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10"/>
    </row>
    <row r="226" spans="1:21" ht="22" customHeight="1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10"/>
    </row>
    <row r="227" spans="1:21" ht="22" customHeight="1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10"/>
    </row>
    <row r="228" spans="1:21" ht="22" customHeight="1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10"/>
    </row>
    <row r="229" spans="1:21" ht="22" customHeight="1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10"/>
    </row>
    <row r="230" spans="1:21" ht="22" customHeight="1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10"/>
    </row>
    <row r="231" spans="1:21" ht="22" customHeight="1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10"/>
    </row>
    <row r="232" spans="1:21" ht="22" customHeight="1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10"/>
    </row>
    <row r="233" spans="1:21" ht="22" customHeight="1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10"/>
    </row>
    <row r="234" spans="1:21" ht="22" customHeight="1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10"/>
    </row>
    <row r="235" spans="1:21" ht="22" customHeight="1" x14ac:dyDescent="0.2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10"/>
    </row>
    <row r="236" spans="1:21" ht="22" customHeight="1" x14ac:dyDescent="0.2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10"/>
    </row>
    <row r="237" spans="1:21" ht="22" customHeight="1" x14ac:dyDescent="0.2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10"/>
    </row>
    <row r="238" spans="1:21" ht="22" customHeight="1" x14ac:dyDescent="0.2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10"/>
    </row>
    <row r="239" spans="1:21" ht="22" customHeight="1" x14ac:dyDescent="0.2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10"/>
    </row>
    <row r="240" spans="1:21" ht="22" customHeight="1" x14ac:dyDescent="0.2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10"/>
    </row>
    <row r="241" spans="1:21" ht="22" customHeight="1" x14ac:dyDescent="0.2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10"/>
    </row>
    <row r="242" spans="1:21" ht="22" customHeight="1" x14ac:dyDescent="0.2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10"/>
    </row>
    <row r="243" spans="1:21" ht="22" customHeight="1" x14ac:dyDescent="0.2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10"/>
    </row>
    <row r="244" spans="1:21" ht="22" customHeight="1" x14ac:dyDescent="0.2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10"/>
    </row>
    <row r="245" spans="1:21" ht="22" customHeight="1" x14ac:dyDescent="0.2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10"/>
    </row>
    <row r="246" spans="1:21" ht="22" customHeight="1" x14ac:dyDescent="0.2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10"/>
    </row>
    <row r="247" spans="1:21" ht="22" customHeight="1" x14ac:dyDescent="0.2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10"/>
    </row>
    <row r="248" spans="1:21" ht="22" customHeight="1" x14ac:dyDescent="0.2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10"/>
    </row>
    <row r="249" spans="1:21" ht="22" customHeight="1" x14ac:dyDescent="0.2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10"/>
    </row>
    <row r="250" spans="1:21" ht="22" customHeight="1" x14ac:dyDescent="0.2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10"/>
    </row>
    <row r="251" spans="1:21" ht="22" customHeight="1" x14ac:dyDescent="0.2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10"/>
    </row>
    <row r="252" spans="1:21" ht="22" customHeight="1" x14ac:dyDescent="0.2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10"/>
    </row>
    <row r="253" spans="1:21" ht="22" customHeight="1" x14ac:dyDescent="0.2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10"/>
    </row>
    <row r="254" spans="1:21" ht="22" customHeight="1" x14ac:dyDescent="0.2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10"/>
    </row>
    <row r="255" spans="1:21" ht="22" customHeight="1" x14ac:dyDescent="0.2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10"/>
    </row>
    <row r="256" spans="1:21" ht="22" customHeight="1" x14ac:dyDescent="0.2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10"/>
    </row>
    <row r="257" spans="1:21" ht="22" customHeight="1" x14ac:dyDescent="0.2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10"/>
    </row>
    <row r="258" spans="1:21" ht="22" customHeight="1" x14ac:dyDescent="0.2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10"/>
    </row>
    <row r="259" spans="1:21" ht="22" customHeight="1" x14ac:dyDescent="0.2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10"/>
    </row>
    <row r="260" spans="1:21" ht="22" customHeight="1" x14ac:dyDescent="0.2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10"/>
    </row>
  </sheetData>
  <autoFilter ref="A3:U260" xr:uid="{00000000-0009-0000-0000-000002000000}"/>
  <mergeCells count="1">
    <mergeCell ref="A1:U2"/>
  </mergeCells>
  <phoneticPr fontId="4" type="noConversion"/>
  <dataValidations count="2">
    <dataValidation type="list" allowBlank="1" error="请输入清单中的标准值" prompt="请选择模板允许的标准值" sqref="G4:G260" xr:uid="{00000000-0002-0000-0200-000000000000}">
      <formula1>DataTypeList</formula1>
    </dataValidation>
    <dataValidation type="list" allowBlank="1" error="请输入清单中的标准值" prompt="请选择模板允许的标准值" sqref="J4:N260" xr:uid="{00000000-0002-0000-0200-000001000000}">
      <formula1>YesNoList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0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22" customHeight="1" x14ac:dyDescent="0.25"/>
  <cols>
    <col min="1" max="1" width="27.54296875" style="20" bestFit="1" customWidth="1"/>
    <col min="2" max="2" width="21.7265625" style="20" bestFit="1" customWidth="1"/>
    <col min="3" max="3" width="23.36328125" style="20" bestFit="1" customWidth="1"/>
    <col min="4" max="4" width="21.26953125" style="20" bestFit="1" customWidth="1"/>
    <col min="5" max="5" width="21.6328125" style="20" bestFit="1" customWidth="1"/>
    <col min="6" max="6" width="21.90625" style="20" bestFit="1" customWidth="1"/>
    <col min="7" max="7" width="20.453125" style="20" bestFit="1" customWidth="1"/>
  </cols>
  <sheetData>
    <row r="1" spans="1:7" ht="22" customHeight="1" x14ac:dyDescent="0.25">
      <c r="A1" s="21" t="s">
        <v>136</v>
      </c>
      <c r="B1" s="21"/>
      <c r="C1" s="21"/>
      <c r="D1" s="21"/>
      <c r="E1" s="21"/>
      <c r="F1" s="21"/>
      <c r="G1" s="21"/>
    </row>
    <row r="2" spans="1:7" ht="22" customHeight="1" thickBot="1" x14ac:dyDescent="0.3">
      <c r="A2" s="22"/>
      <c r="B2" s="22"/>
      <c r="C2" s="22"/>
      <c r="D2" s="22"/>
      <c r="E2" s="22"/>
      <c r="F2" s="22"/>
      <c r="G2" s="22"/>
    </row>
    <row r="3" spans="1:7" ht="43" customHeight="1" thickBot="1" x14ac:dyDescent="0.3">
      <c r="A3" s="11" t="s">
        <v>93</v>
      </c>
      <c r="B3" s="11" t="s">
        <v>75</v>
      </c>
      <c r="C3" s="11" t="s">
        <v>46</v>
      </c>
      <c r="D3" s="11" t="s">
        <v>137</v>
      </c>
      <c r="E3" s="11" t="s">
        <v>138</v>
      </c>
      <c r="F3" s="11" t="s">
        <v>139</v>
      </c>
      <c r="G3" s="11" t="s">
        <v>140</v>
      </c>
    </row>
    <row r="4" spans="1:7" ht="22" customHeight="1" x14ac:dyDescent="0.25">
      <c r="A4" s="24" t="s">
        <v>114</v>
      </c>
      <c r="B4" s="24" t="s">
        <v>107</v>
      </c>
      <c r="C4" s="24" t="s">
        <v>71</v>
      </c>
      <c r="D4" s="24" t="s">
        <v>141</v>
      </c>
      <c r="E4" s="24" t="s">
        <v>113</v>
      </c>
      <c r="F4" s="24" t="s">
        <v>142</v>
      </c>
      <c r="G4" s="24" t="s">
        <v>101</v>
      </c>
    </row>
    <row r="5" spans="1:7" ht="22" customHeight="1" x14ac:dyDescent="0.25">
      <c r="A5" s="24" t="s">
        <v>114</v>
      </c>
      <c r="B5" s="24" t="s">
        <v>107</v>
      </c>
      <c r="C5" s="24" t="s">
        <v>71</v>
      </c>
      <c r="D5" s="24" t="s">
        <v>143</v>
      </c>
      <c r="E5" s="24" t="s">
        <v>144</v>
      </c>
      <c r="F5" s="24" t="s">
        <v>145</v>
      </c>
      <c r="G5" s="24" t="s">
        <v>101</v>
      </c>
    </row>
    <row r="6" spans="1:7" ht="22" customHeight="1" x14ac:dyDescent="0.25">
      <c r="A6" s="24" t="s">
        <v>121</v>
      </c>
      <c r="B6" s="24" t="s">
        <v>115</v>
      </c>
      <c r="C6" s="24" t="s">
        <v>71</v>
      </c>
      <c r="D6" s="24" t="s">
        <v>146</v>
      </c>
      <c r="E6" s="24" t="s">
        <v>146</v>
      </c>
      <c r="F6" s="24" t="s">
        <v>146</v>
      </c>
      <c r="G6" s="24" t="s">
        <v>101</v>
      </c>
    </row>
    <row r="7" spans="1:7" ht="22" customHeight="1" x14ac:dyDescent="0.25">
      <c r="A7" s="24" t="s">
        <v>121</v>
      </c>
      <c r="B7" s="24" t="s">
        <v>115</v>
      </c>
      <c r="C7" s="24" t="s">
        <v>71</v>
      </c>
      <c r="D7" s="24" t="s">
        <v>147</v>
      </c>
      <c r="E7" s="24" t="s">
        <v>147</v>
      </c>
      <c r="F7" s="24" t="s">
        <v>148</v>
      </c>
      <c r="G7" s="24" t="s">
        <v>101</v>
      </c>
    </row>
    <row r="8" spans="1:7" ht="22" customHeight="1" x14ac:dyDescent="0.25">
      <c r="A8" s="27"/>
      <c r="B8" s="27"/>
      <c r="C8" s="27"/>
      <c r="D8" s="27"/>
      <c r="E8" s="27"/>
      <c r="F8" s="27"/>
      <c r="G8" s="27"/>
    </row>
    <row r="9" spans="1:7" ht="22" customHeight="1" x14ac:dyDescent="0.25">
      <c r="A9" s="27"/>
      <c r="B9" s="27"/>
      <c r="C9" s="27"/>
      <c r="D9" s="27"/>
      <c r="E9" s="27"/>
      <c r="F9" s="27"/>
      <c r="G9" s="27"/>
    </row>
    <row r="10" spans="1:7" ht="22" customHeight="1" x14ac:dyDescent="0.25">
      <c r="A10" s="27"/>
      <c r="B10" s="27"/>
      <c r="C10" s="27"/>
      <c r="D10" s="27"/>
      <c r="E10" s="27"/>
      <c r="F10" s="27"/>
      <c r="G10" s="27"/>
    </row>
    <row r="11" spans="1:7" ht="22" customHeight="1" x14ac:dyDescent="0.25">
      <c r="A11" s="27"/>
      <c r="B11" s="27"/>
      <c r="C11" s="27"/>
      <c r="D11" s="27"/>
      <c r="E11" s="27"/>
      <c r="F11" s="27"/>
      <c r="G11" s="27"/>
    </row>
    <row r="12" spans="1:7" ht="22" customHeight="1" x14ac:dyDescent="0.25">
      <c r="A12" s="27"/>
      <c r="B12" s="27"/>
      <c r="C12" s="27"/>
      <c r="D12" s="27"/>
      <c r="E12" s="27"/>
      <c r="F12" s="27"/>
      <c r="G12" s="27"/>
    </row>
    <row r="13" spans="1:7" ht="22" customHeight="1" x14ac:dyDescent="0.25">
      <c r="A13" s="27"/>
      <c r="B13" s="27"/>
      <c r="C13" s="27"/>
      <c r="D13" s="27"/>
      <c r="E13" s="27"/>
      <c r="F13" s="27"/>
      <c r="G13" s="27"/>
    </row>
    <row r="14" spans="1:7" ht="22" customHeight="1" x14ac:dyDescent="0.25">
      <c r="A14" s="27"/>
      <c r="B14" s="27"/>
      <c r="C14" s="27"/>
      <c r="D14" s="27"/>
      <c r="E14" s="27"/>
      <c r="F14" s="27"/>
      <c r="G14" s="27"/>
    </row>
    <row r="15" spans="1:7" ht="22" customHeight="1" x14ac:dyDescent="0.25">
      <c r="A15" s="27"/>
      <c r="B15" s="27"/>
      <c r="C15" s="27"/>
      <c r="D15" s="27"/>
      <c r="E15" s="27"/>
      <c r="F15" s="27"/>
      <c r="G15" s="27"/>
    </row>
    <row r="16" spans="1:7" ht="22" customHeight="1" x14ac:dyDescent="0.25">
      <c r="A16" s="27"/>
      <c r="B16" s="27"/>
      <c r="C16" s="27"/>
      <c r="D16" s="27"/>
      <c r="E16" s="27"/>
      <c r="F16" s="27"/>
      <c r="G16" s="27"/>
    </row>
    <row r="17" spans="1:7" ht="22" customHeight="1" x14ac:dyDescent="0.25">
      <c r="A17" s="27"/>
      <c r="B17" s="27"/>
      <c r="C17" s="27"/>
      <c r="D17" s="27"/>
      <c r="E17" s="27"/>
      <c r="F17" s="27"/>
      <c r="G17" s="27"/>
    </row>
    <row r="18" spans="1:7" ht="22" customHeight="1" x14ac:dyDescent="0.25">
      <c r="A18" s="27"/>
      <c r="B18" s="27"/>
      <c r="C18" s="27"/>
      <c r="D18" s="27"/>
      <c r="E18" s="27"/>
      <c r="F18" s="27"/>
      <c r="G18" s="27"/>
    </row>
    <row r="19" spans="1:7" ht="22" customHeight="1" x14ac:dyDescent="0.25">
      <c r="A19" s="27"/>
      <c r="B19" s="27"/>
      <c r="C19" s="27"/>
      <c r="D19" s="27"/>
      <c r="E19" s="27"/>
      <c r="F19" s="27"/>
      <c r="G19" s="27"/>
    </row>
    <row r="20" spans="1:7" ht="22" customHeight="1" x14ac:dyDescent="0.25">
      <c r="A20" s="27"/>
      <c r="B20" s="27"/>
      <c r="C20" s="27"/>
      <c r="D20" s="27"/>
      <c r="E20" s="27"/>
      <c r="F20" s="27"/>
      <c r="G20" s="27"/>
    </row>
    <row r="21" spans="1:7" ht="22" customHeight="1" x14ac:dyDescent="0.25">
      <c r="A21" s="27"/>
      <c r="B21" s="27"/>
      <c r="C21" s="27"/>
      <c r="D21" s="27"/>
      <c r="E21" s="27"/>
      <c r="F21" s="27"/>
      <c r="G21" s="27"/>
    </row>
    <row r="22" spans="1:7" ht="22" customHeight="1" x14ac:dyDescent="0.25">
      <c r="A22" s="27"/>
      <c r="B22" s="27"/>
      <c r="C22" s="27"/>
      <c r="D22" s="27"/>
      <c r="E22" s="27"/>
      <c r="F22" s="27"/>
      <c r="G22" s="27"/>
    </row>
    <row r="23" spans="1:7" ht="22" customHeight="1" x14ac:dyDescent="0.25">
      <c r="A23" s="27"/>
      <c r="B23" s="27"/>
      <c r="C23" s="27"/>
      <c r="D23" s="27"/>
      <c r="E23" s="27"/>
      <c r="F23" s="27"/>
      <c r="G23" s="27"/>
    </row>
    <row r="24" spans="1:7" ht="22" customHeight="1" x14ac:dyDescent="0.25">
      <c r="A24" s="27"/>
      <c r="B24" s="27"/>
      <c r="C24" s="27"/>
      <c r="D24" s="27"/>
      <c r="E24" s="27"/>
      <c r="F24" s="27"/>
      <c r="G24" s="27"/>
    </row>
    <row r="25" spans="1:7" ht="22" customHeight="1" x14ac:dyDescent="0.25">
      <c r="A25" s="27"/>
      <c r="B25" s="27"/>
      <c r="C25" s="27"/>
      <c r="D25" s="27"/>
      <c r="E25" s="27"/>
      <c r="F25" s="27"/>
      <c r="G25" s="27"/>
    </row>
    <row r="26" spans="1:7" ht="22" customHeight="1" x14ac:dyDescent="0.25">
      <c r="A26" s="27"/>
      <c r="B26" s="27"/>
      <c r="C26" s="27"/>
      <c r="D26" s="27"/>
      <c r="E26" s="27"/>
      <c r="F26" s="27"/>
      <c r="G26" s="27"/>
    </row>
    <row r="27" spans="1:7" ht="22" customHeight="1" x14ac:dyDescent="0.25">
      <c r="A27" s="27"/>
      <c r="B27" s="27"/>
      <c r="C27" s="27"/>
      <c r="D27" s="27"/>
      <c r="E27" s="27"/>
      <c r="F27" s="27"/>
      <c r="G27" s="27"/>
    </row>
    <row r="28" spans="1:7" ht="22" customHeight="1" x14ac:dyDescent="0.25">
      <c r="A28" s="27"/>
      <c r="B28" s="27"/>
      <c r="C28" s="27"/>
      <c r="D28" s="27"/>
      <c r="E28" s="27"/>
      <c r="F28" s="27"/>
      <c r="G28" s="27"/>
    </row>
    <row r="29" spans="1:7" ht="22" customHeight="1" x14ac:dyDescent="0.25">
      <c r="A29" s="27"/>
      <c r="B29" s="27"/>
      <c r="C29" s="27"/>
      <c r="D29" s="27"/>
      <c r="E29" s="27"/>
      <c r="F29" s="27"/>
      <c r="G29" s="27"/>
    </row>
    <row r="30" spans="1:7" ht="22" customHeight="1" x14ac:dyDescent="0.25">
      <c r="A30" s="27"/>
      <c r="B30" s="27"/>
      <c r="C30" s="27"/>
      <c r="D30" s="27"/>
      <c r="E30" s="27"/>
      <c r="F30" s="27"/>
      <c r="G30" s="27"/>
    </row>
    <row r="31" spans="1:7" ht="22" customHeight="1" x14ac:dyDescent="0.25">
      <c r="A31" s="27"/>
      <c r="B31" s="27"/>
      <c r="C31" s="27"/>
      <c r="D31" s="27"/>
      <c r="E31" s="27"/>
      <c r="F31" s="27"/>
      <c r="G31" s="27"/>
    </row>
    <row r="32" spans="1:7" ht="22" customHeight="1" x14ac:dyDescent="0.25">
      <c r="A32" s="27"/>
      <c r="B32" s="27"/>
      <c r="C32" s="27"/>
      <c r="D32" s="27"/>
      <c r="E32" s="27"/>
      <c r="F32" s="27"/>
      <c r="G32" s="27"/>
    </row>
    <row r="33" spans="1:7" ht="22" customHeight="1" x14ac:dyDescent="0.25">
      <c r="A33" s="27"/>
      <c r="B33" s="27"/>
      <c r="C33" s="27"/>
      <c r="D33" s="27"/>
      <c r="E33" s="27"/>
      <c r="F33" s="27"/>
      <c r="G33" s="27"/>
    </row>
    <row r="34" spans="1:7" ht="22" customHeight="1" x14ac:dyDescent="0.25">
      <c r="A34" s="27"/>
      <c r="B34" s="27"/>
      <c r="C34" s="27"/>
      <c r="D34" s="27"/>
      <c r="E34" s="27"/>
      <c r="F34" s="27"/>
      <c r="G34" s="27"/>
    </row>
    <row r="35" spans="1:7" ht="22" customHeight="1" x14ac:dyDescent="0.25">
      <c r="A35" s="27"/>
      <c r="B35" s="27"/>
      <c r="C35" s="27"/>
      <c r="D35" s="27"/>
      <c r="E35" s="27"/>
      <c r="F35" s="27"/>
      <c r="G35" s="27"/>
    </row>
    <row r="36" spans="1:7" ht="22" customHeight="1" x14ac:dyDescent="0.25">
      <c r="A36" s="27"/>
      <c r="B36" s="27"/>
      <c r="C36" s="27"/>
      <c r="D36" s="27"/>
      <c r="E36" s="27"/>
      <c r="F36" s="27"/>
      <c r="G36" s="27"/>
    </row>
    <row r="37" spans="1:7" ht="22" customHeight="1" x14ac:dyDescent="0.25">
      <c r="A37" s="27"/>
      <c r="B37" s="27"/>
      <c r="C37" s="27"/>
      <c r="D37" s="27"/>
      <c r="E37" s="27"/>
      <c r="F37" s="27"/>
      <c r="G37" s="27"/>
    </row>
    <row r="38" spans="1:7" ht="22" customHeight="1" x14ac:dyDescent="0.25">
      <c r="A38" s="27"/>
      <c r="B38" s="27"/>
      <c r="C38" s="27"/>
      <c r="D38" s="27"/>
      <c r="E38" s="27"/>
      <c r="F38" s="27"/>
      <c r="G38" s="27"/>
    </row>
    <row r="39" spans="1:7" ht="22" customHeight="1" x14ac:dyDescent="0.25">
      <c r="A39" s="27"/>
      <c r="B39" s="27"/>
      <c r="C39" s="27"/>
      <c r="D39" s="27"/>
      <c r="E39" s="27"/>
      <c r="F39" s="27"/>
      <c r="G39" s="27"/>
    </row>
    <row r="40" spans="1:7" ht="22" customHeight="1" x14ac:dyDescent="0.25">
      <c r="A40" s="27"/>
      <c r="B40" s="27"/>
      <c r="C40" s="27"/>
      <c r="D40" s="27"/>
      <c r="E40" s="27"/>
      <c r="F40" s="27"/>
      <c r="G40" s="27"/>
    </row>
    <row r="41" spans="1:7" ht="22" customHeight="1" x14ac:dyDescent="0.25">
      <c r="A41" s="27"/>
      <c r="B41" s="27"/>
      <c r="C41" s="27"/>
      <c r="D41" s="27"/>
      <c r="E41" s="27"/>
      <c r="F41" s="27"/>
      <c r="G41" s="27"/>
    </row>
    <row r="42" spans="1:7" ht="22" customHeight="1" x14ac:dyDescent="0.25">
      <c r="A42" s="27"/>
      <c r="B42" s="27"/>
      <c r="C42" s="27"/>
      <c r="D42" s="27"/>
      <c r="E42" s="27"/>
      <c r="F42" s="27"/>
      <c r="G42" s="27"/>
    </row>
    <row r="43" spans="1:7" ht="22" customHeight="1" x14ac:dyDescent="0.25">
      <c r="A43" s="27"/>
      <c r="B43" s="27"/>
      <c r="C43" s="27"/>
      <c r="D43" s="27"/>
      <c r="E43" s="27"/>
      <c r="F43" s="27"/>
      <c r="G43" s="27"/>
    </row>
    <row r="44" spans="1:7" ht="22" customHeight="1" x14ac:dyDescent="0.25">
      <c r="A44" s="27"/>
      <c r="B44" s="27"/>
      <c r="C44" s="27"/>
      <c r="D44" s="27"/>
      <c r="E44" s="27"/>
      <c r="F44" s="27"/>
      <c r="G44" s="27"/>
    </row>
    <row r="45" spans="1:7" ht="22" customHeight="1" x14ac:dyDescent="0.25">
      <c r="A45" s="27"/>
      <c r="B45" s="27"/>
      <c r="C45" s="27"/>
      <c r="D45" s="27"/>
      <c r="E45" s="27"/>
      <c r="F45" s="27"/>
      <c r="G45" s="27"/>
    </row>
    <row r="46" spans="1:7" ht="22" customHeight="1" x14ac:dyDescent="0.25">
      <c r="A46" s="27"/>
      <c r="B46" s="27"/>
      <c r="C46" s="27"/>
      <c r="D46" s="27"/>
      <c r="E46" s="27"/>
      <c r="F46" s="27"/>
      <c r="G46" s="27"/>
    </row>
    <row r="47" spans="1:7" ht="22" customHeight="1" x14ac:dyDescent="0.25">
      <c r="A47" s="27"/>
      <c r="B47" s="27"/>
      <c r="C47" s="27"/>
      <c r="D47" s="27"/>
      <c r="E47" s="27"/>
      <c r="F47" s="27"/>
      <c r="G47" s="27"/>
    </row>
    <row r="48" spans="1:7" ht="22" customHeight="1" x14ac:dyDescent="0.25">
      <c r="A48" s="27"/>
      <c r="B48" s="27"/>
      <c r="C48" s="27"/>
      <c r="D48" s="27"/>
      <c r="E48" s="27"/>
      <c r="F48" s="27"/>
      <c r="G48" s="27"/>
    </row>
    <row r="49" spans="1:7" ht="22" customHeight="1" x14ac:dyDescent="0.25">
      <c r="A49" s="27"/>
      <c r="B49" s="27"/>
      <c r="C49" s="27"/>
      <c r="D49" s="27"/>
      <c r="E49" s="27"/>
      <c r="F49" s="27"/>
      <c r="G49" s="27"/>
    </row>
    <row r="50" spans="1:7" ht="22" customHeight="1" x14ac:dyDescent="0.25">
      <c r="A50" s="27"/>
      <c r="B50" s="27"/>
      <c r="C50" s="27"/>
      <c r="D50" s="27"/>
      <c r="E50" s="27"/>
      <c r="F50" s="27"/>
      <c r="G50" s="27"/>
    </row>
    <row r="51" spans="1:7" ht="22" customHeight="1" x14ac:dyDescent="0.25">
      <c r="A51" s="27"/>
      <c r="B51" s="27"/>
      <c r="C51" s="27"/>
      <c r="D51" s="27"/>
      <c r="E51" s="27"/>
      <c r="F51" s="27"/>
      <c r="G51" s="27"/>
    </row>
    <row r="52" spans="1:7" ht="22" customHeight="1" x14ac:dyDescent="0.25">
      <c r="A52" s="27"/>
      <c r="B52" s="27"/>
      <c r="C52" s="27"/>
      <c r="D52" s="27"/>
      <c r="E52" s="27"/>
      <c r="F52" s="27"/>
      <c r="G52" s="27"/>
    </row>
    <row r="53" spans="1:7" ht="22" customHeight="1" x14ac:dyDescent="0.25">
      <c r="A53" s="27"/>
      <c r="B53" s="27"/>
      <c r="C53" s="27"/>
      <c r="D53" s="27"/>
      <c r="E53" s="27"/>
      <c r="F53" s="27"/>
      <c r="G53" s="27"/>
    </row>
    <row r="54" spans="1:7" ht="22" customHeight="1" x14ac:dyDescent="0.25">
      <c r="A54" s="27"/>
      <c r="B54" s="27"/>
      <c r="C54" s="27"/>
      <c r="D54" s="27"/>
      <c r="E54" s="27"/>
      <c r="F54" s="27"/>
      <c r="G54" s="27"/>
    </row>
    <row r="55" spans="1:7" ht="22" customHeight="1" x14ac:dyDescent="0.25">
      <c r="A55" s="27"/>
      <c r="B55" s="27"/>
      <c r="C55" s="27"/>
      <c r="D55" s="27"/>
      <c r="E55" s="27"/>
      <c r="F55" s="27"/>
      <c r="G55" s="27"/>
    </row>
    <row r="56" spans="1:7" ht="22" customHeight="1" x14ac:dyDescent="0.25">
      <c r="A56" s="27"/>
      <c r="B56" s="27"/>
      <c r="C56" s="27"/>
      <c r="D56" s="27"/>
      <c r="E56" s="27"/>
      <c r="F56" s="27"/>
      <c r="G56" s="27"/>
    </row>
    <row r="57" spans="1:7" ht="22" customHeight="1" x14ac:dyDescent="0.25">
      <c r="A57" s="27"/>
      <c r="B57" s="27"/>
      <c r="C57" s="27"/>
      <c r="D57" s="27"/>
      <c r="E57" s="27"/>
      <c r="F57" s="27"/>
      <c r="G57" s="27"/>
    </row>
    <row r="58" spans="1:7" ht="22" customHeight="1" x14ac:dyDescent="0.25">
      <c r="A58" s="27"/>
      <c r="B58" s="27"/>
      <c r="C58" s="27"/>
      <c r="D58" s="27"/>
      <c r="E58" s="27"/>
      <c r="F58" s="27"/>
      <c r="G58" s="27"/>
    </row>
    <row r="59" spans="1:7" ht="22" customHeight="1" x14ac:dyDescent="0.25">
      <c r="A59" s="27"/>
      <c r="B59" s="27"/>
      <c r="C59" s="27"/>
      <c r="D59" s="27"/>
      <c r="E59" s="27"/>
      <c r="F59" s="27"/>
      <c r="G59" s="27"/>
    </row>
    <row r="60" spans="1:7" ht="22" customHeight="1" x14ac:dyDescent="0.25">
      <c r="A60" s="27"/>
      <c r="B60" s="27"/>
      <c r="C60" s="27"/>
      <c r="D60" s="27"/>
      <c r="E60" s="27"/>
      <c r="F60" s="27"/>
      <c r="G60" s="27"/>
    </row>
    <row r="61" spans="1:7" ht="22" customHeight="1" x14ac:dyDescent="0.25">
      <c r="A61" s="27"/>
      <c r="B61" s="27"/>
      <c r="C61" s="27"/>
      <c r="D61" s="27"/>
      <c r="E61" s="27"/>
      <c r="F61" s="27"/>
      <c r="G61" s="27"/>
    </row>
    <row r="62" spans="1:7" ht="22" customHeight="1" x14ac:dyDescent="0.25">
      <c r="A62" s="27"/>
      <c r="B62" s="27"/>
      <c r="C62" s="27"/>
      <c r="D62" s="27"/>
      <c r="E62" s="27"/>
      <c r="F62" s="27"/>
      <c r="G62" s="27"/>
    </row>
    <row r="63" spans="1:7" ht="22" customHeight="1" x14ac:dyDescent="0.25">
      <c r="A63" s="27"/>
      <c r="B63" s="27"/>
      <c r="C63" s="27"/>
      <c r="D63" s="27"/>
      <c r="E63" s="27"/>
      <c r="F63" s="27"/>
      <c r="G63" s="27"/>
    </row>
    <row r="64" spans="1:7" ht="22" customHeight="1" x14ac:dyDescent="0.25">
      <c r="A64" s="27"/>
      <c r="B64" s="27"/>
      <c r="C64" s="27"/>
      <c r="D64" s="27"/>
      <c r="E64" s="27"/>
      <c r="F64" s="27"/>
      <c r="G64" s="27"/>
    </row>
    <row r="65" spans="1:7" ht="22" customHeight="1" x14ac:dyDescent="0.25">
      <c r="A65" s="27"/>
      <c r="B65" s="27"/>
      <c r="C65" s="27"/>
      <c r="D65" s="27"/>
      <c r="E65" s="27"/>
      <c r="F65" s="27"/>
      <c r="G65" s="27"/>
    </row>
    <row r="66" spans="1:7" ht="22" customHeight="1" x14ac:dyDescent="0.25">
      <c r="A66" s="27"/>
      <c r="B66" s="27"/>
      <c r="C66" s="27"/>
      <c r="D66" s="27"/>
      <c r="E66" s="27"/>
      <c r="F66" s="27"/>
      <c r="G66" s="27"/>
    </row>
    <row r="67" spans="1:7" ht="22" customHeight="1" x14ac:dyDescent="0.25">
      <c r="A67" s="27"/>
      <c r="B67" s="27"/>
      <c r="C67" s="27"/>
      <c r="D67" s="27"/>
      <c r="E67" s="27"/>
      <c r="F67" s="27"/>
      <c r="G67" s="27"/>
    </row>
    <row r="68" spans="1:7" ht="22" customHeight="1" x14ac:dyDescent="0.25">
      <c r="A68" s="27"/>
      <c r="B68" s="27"/>
      <c r="C68" s="27"/>
      <c r="D68" s="27"/>
      <c r="E68" s="27"/>
      <c r="F68" s="27"/>
      <c r="G68" s="27"/>
    </row>
    <row r="69" spans="1:7" ht="22" customHeight="1" x14ac:dyDescent="0.25">
      <c r="A69" s="27"/>
      <c r="B69" s="27"/>
      <c r="C69" s="27"/>
      <c r="D69" s="27"/>
      <c r="E69" s="27"/>
      <c r="F69" s="27"/>
      <c r="G69" s="27"/>
    </row>
    <row r="70" spans="1:7" ht="22" customHeight="1" x14ac:dyDescent="0.25">
      <c r="A70" s="27"/>
      <c r="B70" s="27"/>
      <c r="C70" s="27"/>
      <c r="D70" s="27"/>
      <c r="E70" s="27"/>
      <c r="F70" s="27"/>
      <c r="G70" s="27"/>
    </row>
    <row r="71" spans="1:7" ht="22" customHeight="1" x14ac:dyDescent="0.25">
      <c r="A71" s="27"/>
      <c r="B71" s="27"/>
      <c r="C71" s="27"/>
      <c r="D71" s="27"/>
      <c r="E71" s="27"/>
      <c r="F71" s="27"/>
      <c r="G71" s="27"/>
    </row>
    <row r="72" spans="1:7" ht="22" customHeight="1" x14ac:dyDescent="0.25">
      <c r="A72" s="27"/>
      <c r="B72" s="27"/>
      <c r="C72" s="27"/>
      <c r="D72" s="27"/>
      <c r="E72" s="27"/>
      <c r="F72" s="27"/>
      <c r="G72" s="27"/>
    </row>
    <row r="73" spans="1:7" ht="22" customHeight="1" x14ac:dyDescent="0.25">
      <c r="A73" s="27"/>
      <c r="B73" s="27"/>
      <c r="C73" s="27"/>
      <c r="D73" s="27"/>
      <c r="E73" s="27"/>
      <c r="F73" s="27"/>
      <c r="G73" s="27"/>
    </row>
    <row r="74" spans="1:7" ht="22" customHeight="1" x14ac:dyDescent="0.25">
      <c r="A74" s="27"/>
      <c r="B74" s="27"/>
      <c r="C74" s="27"/>
      <c r="D74" s="27"/>
      <c r="E74" s="27"/>
      <c r="F74" s="27"/>
      <c r="G74" s="27"/>
    </row>
    <row r="75" spans="1:7" ht="22" customHeight="1" x14ac:dyDescent="0.25">
      <c r="A75" s="27"/>
      <c r="B75" s="27"/>
      <c r="C75" s="27"/>
      <c r="D75" s="27"/>
      <c r="E75" s="27"/>
      <c r="F75" s="27"/>
      <c r="G75" s="27"/>
    </row>
    <row r="76" spans="1:7" ht="22" customHeight="1" x14ac:dyDescent="0.25">
      <c r="A76" s="27"/>
      <c r="B76" s="27"/>
      <c r="C76" s="27"/>
      <c r="D76" s="27"/>
      <c r="E76" s="27"/>
      <c r="F76" s="27"/>
      <c r="G76" s="27"/>
    </row>
    <row r="77" spans="1:7" ht="22" customHeight="1" x14ac:dyDescent="0.25">
      <c r="A77" s="27"/>
      <c r="B77" s="27"/>
      <c r="C77" s="27"/>
      <c r="D77" s="27"/>
      <c r="E77" s="27"/>
      <c r="F77" s="27"/>
      <c r="G77" s="27"/>
    </row>
    <row r="78" spans="1:7" ht="22" customHeight="1" x14ac:dyDescent="0.25">
      <c r="A78" s="27"/>
      <c r="B78" s="27"/>
      <c r="C78" s="27"/>
      <c r="D78" s="27"/>
      <c r="E78" s="27"/>
      <c r="F78" s="27"/>
      <c r="G78" s="27"/>
    </row>
    <row r="79" spans="1:7" ht="22" customHeight="1" x14ac:dyDescent="0.25">
      <c r="A79" s="27"/>
      <c r="B79" s="27"/>
      <c r="C79" s="27"/>
      <c r="D79" s="27"/>
      <c r="E79" s="27"/>
      <c r="F79" s="27"/>
      <c r="G79" s="27"/>
    </row>
    <row r="80" spans="1:7" ht="22" customHeight="1" x14ac:dyDescent="0.25">
      <c r="A80" s="27"/>
      <c r="B80" s="27"/>
      <c r="C80" s="27"/>
      <c r="D80" s="27"/>
      <c r="E80" s="27"/>
      <c r="F80" s="27"/>
      <c r="G80" s="27"/>
    </row>
    <row r="81" spans="1:7" ht="22" customHeight="1" x14ac:dyDescent="0.25">
      <c r="A81" s="27"/>
      <c r="B81" s="27"/>
      <c r="C81" s="27"/>
      <c r="D81" s="27"/>
      <c r="E81" s="27"/>
      <c r="F81" s="27"/>
      <c r="G81" s="27"/>
    </row>
    <row r="82" spans="1:7" ht="22" customHeight="1" x14ac:dyDescent="0.25">
      <c r="A82" s="27"/>
      <c r="B82" s="27"/>
      <c r="C82" s="27"/>
      <c r="D82" s="27"/>
      <c r="E82" s="27"/>
      <c r="F82" s="27"/>
      <c r="G82" s="27"/>
    </row>
    <row r="83" spans="1:7" ht="22" customHeight="1" x14ac:dyDescent="0.25">
      <c r="A83" s="27"/>
      <c r="B83" s="27"/>
      <c r="C83" s="27"/>
      <c r="D83" s="27"/>
      <c r="E83" s="27"/>
      <c r="F83" s="27"/>
      <c r="G83" s="27"/>
    </row>
    <row r="84" spans="1:7" ht="22" customHeight="1" x14ac:dyDescent="0.25">
      <c r="A84" s="27"/>
      <c r="B84" s="27"/>
      <c r="C84" s="27"/>
      <c r="D84" s="27"/>
      <c r="E84" s="27"/>
      <c r="F84" s="27"/>
      <c r="G84" s="27"/>
    </row>
    <row r="85" spans="1:7" ht="22" customHeight="1" x14ac:dyDescent="0.25">
      <c r="A85" s="27"/>
      <c r="B85" s="27"/>
      <c r="C85" s="27"/>
      <c r="D85" s="27"/>
      <c r="E85" s="27"/>
      <c r="F85" s="27"/>
      <c r="G85" s="27"/>
    </row>
    <row r="86" spans="1:7" ht="22" customHeight="1" x14ac:dyDescent="0.25">
      <c r="A86" s="27"/>
      <c r="B86" s="27"/>
      <c r="C86" s="27"/>
      <c r="D86" s="27"/>
      <c r="E86" s="27"/>
      <c r="F86" s="27"/>
      <c r="G86" s="27"/>
    </row>
    <row r="87" spans="1:7" ht="22" customHeight="1" x14ac:dyDescent="0.25">
      <c r="A87" s="27"/>
      <c r="B87" s="27"/>
      <c r="C87" s="27"/>
      <c r="D87" s="27"/>
      <c r="E87" s="27"/>
      <c r="F87" s="27"/>
      <c r="G87" s="27"/>
    </row>
    <row r="88" spans="1:7" ht="22" customHeight="1" x14ac:dyDescent="0.25">
      <c r="A88" s="27"/>
      <c r="B88" s="27"/>
      <c r="C88" s="27"/>
      <c r="D88" s="27"/>
      <c r="E88" s="27"/>
      <c r="F88" s="27"/>
      <c r="G88" s="27"/>
    </row>
    <row r="89" spans="1:7" ht="22" customHeight="1" x14ac:dyDescent="0.25">
      <c r="A89" s="27"/>
      <c r="B89" s="27"/>
      <c r="C89" s="27"/>
      <c r="D89" s="27"/>
      <c r="E89" s="27"/>
      <c r="F89" s="27"/>
      <c r="G89" s="27"/>
    </row>
    <row r="90" spans="1:7" ht="22" customHeight="1" x14ac:dyDescent="0.25">
      <c r="A90" s="27"/>
      <c r="B90" s="27"/>
      <c r="C90" s="27"/>
      <c r="D90" s="27"/>
      <c r="E90" s="27"/>
      <c r="F90" s="27"/>
      <c r="G90" s="27"/>
    </row>
    <row r="91" spans="1:7" ht="22" customHeight="1" x14ac:dyDescent="0.25">
      <c r="A91" s="27"/>
      <c r="B91" s="27"/>
      <c r="C91" s="27"/>
      <c r="D91" s="27"/>
      <c r="E91" s="27"/>
      <c r="F91" s="27"/>
      <c r="G91" s="27"/>
    </row>
    <row r="92" spans="1:7" ht="22" customHeight="1" x14ac:dyDescent="0.25">
      <c r="A92" s="27"/>
      <c r="B92" s="27"/>
      <c r="C92" s="27"/>
      <c r="D92" s="27"/>
      <c r="E92" s="27"/>
      <c r="F92" s="27"/>
      <c r="G92" s="27"/>
    </row>
    <row r="93" spans="1:7" ht="22" customHeight="1" x14ac:dyDescent="0.25">
      <c r="A93" s="27"/>
      <c r="B93" s="27"/>
      <c r="C93" s="27"/>
      <c r="D93" s="27"/>
      <c r="E93" s="27"/>
      <c r="F93" s="27"/>
      <c r="G93" s="27"/>
    </row>
    <row r="94" spans="1:7" ht="22" customHeight="1" x14ac:dyDescent="0.25">
      <c r="A94" s="27"/>
      <c r="B94" s="27"/>
      <c r="C94" s="27"/>
      <c r="D94" s="27"/>
      <c r="E94" s="27"/>
      <c r="F94" s="27"/>
      <c r="G94" s="27"/>
    </row>
    <row r="95" spans="1:7" ht="22" customHeight="1" x14ac:dyDescent="0.25">
      <c r="A95" s="27"/>
      <c r="B95" s="27"/>
      <c r="C95" s="27"/>
      <c r="D95" s="27"/>
      <c r="E95" s="27"/>
      <c r="F95" s="27"/>
      <c r="G95" s="27"/>
    </row>
    <row r="96" spans="1:7" ht="22" customHeight="1" x14ac:dyDescent="0.25">
      <c r="A96" s="27"/>
      <c r="B96" s="27"/>
      <c r="C96" s="27"/>
      <c r="D96" s="27"/>
      <c r="E96" s="27"/>
      <c r="F96" s="27"/>
      <c r="G96" s="27"/>
    </row>
    <row r="97" spans="1:7" ht="22" customHeight="1" x14ac:dyDescent="0.25">
      <c r="A97" s="27"/>
      <c r="B97" s="27"/>
      <c r="C97" s="27"/>
      <c r="D97" s="27"/>
      <c r="E97" s="27"/>
      <c r="F97" s="27"/>
      <c r="G97" s="27"/>
    </row>
    <row r="98" spans="1:7" ht="22" customHeight="1" x14ac:dyDescent="0.25">
      <c r="A98" s="27"/>
      <c r="B98" s="27"/>
      <c r="C98" s="27"/>
      <c r="D98" s="27"/>
      <c r="E98" s="27"/>
      <c r="F98" s="27"/>
      <c r="G98" s="27"/>
    </row>
    <row r="99" spans="1:7" ht="22" customHeight="1" x14ac:dyDescent="0.25">
      <c r="A99" s="27"/>
      <c r="B99" s="27"/>
      <c r="C99" s="27"/>
      <c r="D99" s="27"/>
      <c r="E99" s="27"/>
      <c r="F99" s="27"/>
      <c r="G99" s="27"/>
    </row>
    <row r="100" spans="1:7" ht="22" customHeight="1" x14ac:dyDescent="0.25">
      <c r="A100" s="27"/>
      <c r="B100" s="27"/>
      <c r="C100" s="27"/>
      <c r="D100" s="27"/>
      <c r="E100" s="27"/>
      <c r="F100" s="27"/>
      <c r="G100" s="27"/>
    </row>
    <row r="101" spans="1:7" ht="22" customHeight="1" x14ac:dyDescent="0.25">
      <c r="A101" s="27"/>
      <c r="B101" s="27"/>
      <c r="C101" s="27"/>
      <c r="D101" s="27"/>
      <c r="E101" s="27"/>
      <c r="F101" s="27"/>
      <c r="G101" s="27"/>
    </row>
    <row r="102" spans="1:7" ht="22" customHeight="1" x14ac:dyDescent="0.25">
      <c r="A102" s="27"/>
      <c r="B102" s="27"/>
      <c r="C102" s="27"/>
      <c r="D102" s="27"/>
      <c r="E102" s="27"/>
      <c r="F102" s="27"/>
      <c r="G102" s="27"/>
    </row>
    <row r="103" spans="1:7" ht="22" customHeight="1" x14ac:dyDescent="0.25">
      <c r="A103" s="27"/>
      <c r="B103" s="27"/>
      <c r="C103" s="27"/>
      <c r="D103" s="27"/>
      <c r="E103" s="27"/>
      <c r="F103" s="27"/>
      <c r="G103" s="27"/>
    </row>
    <row r="104" spans="1:7" ht="22" customHeight="1" x14ac:dyDescent="0.25">
      <c r="A104" s="27"/>
      <c r="B104" s="27"/>
      <c r="C104" s="27"/>
      <c r="D104" s="27"/>
      <c r="E104" s="27"/>
      <c r="F104" s="27"/>
      <c r="G104" s="27"/>
    </row>
    <row r="105" spans="1:7" ht="22" customHeight="1" x14ac:dyDescent="0.25">
      <c r="A105" s="27"/>
      <c r="B105" s="27"/>
      <c r="C105" s="27"/>
      <c r="D105" s="27"/>
      <c r="E105" s="27"/>
      <c r="F105" s="27"/>
      <c r="G105" s="27"/>
    </row>
    <row r="106" spans="1:7" ht="22" customHeight="1" x14ac:dyDescent="0.25">
      <c r="A106" s="27"/>
      <c r="B106" s="27"/>
      <c r="C106" s="27"/>
      <c r="D106" s="27"/>
      <c r="E106" s="27"/>
      <c r="F106" s="27"/>
      <c r="G106" s="27"/>
    </row>
    <row r="107" spans="1:7" ht="22" customHeight="1" x14ac:dyDescent="0.25">
      <c r="A107" s="27"/>
      <c r="B107" s="27"/>
      <c r="C107" s="27"/>
      <c r="D107" s="27"/>
      <c r="E107" s="27"/>
      <c r="F107" s="27"/>
      <c r="G107" s="27"/>
    </row>
    <row r="108" spans="1:7" ht="22" customHeight="1" x14ac:dyDescent="0.25">
      <c r="A108" s="27"/>
      <c r="B108" s="27"/>
      <c r="C108" s="27"/>
      <c r="D108" s="27"/>
      <c r="E108" s="27"/>
      <c r="F108" s="27"/>
      <c r="G108" s="27"/>
    </row>
    <row r="109" spans="1:7" ht="22" customHeight="1" x14ac:dyDescent="0.25">
      <c r="A109" s="27"/>
      <c r="B109" s="27"/>
      <c r="C109" s="27"/>
      <c r="D109" s="27"/>
      <c r="E109" s="27"/>
      <c r="F109" s="27"/>
      <c r="G109" s="27"/>
    </row>
    <row r="110" spans="1:7" ht="22" customHeight="1" x14ac:dyDescent="0.25">
      <c r="A110" s="27"/>
      <c r="B110" s="27"/>
      <c r="C110" s="27"/>
      <c r="D110" s="27"/>
      <c r="E110" s="27"/>
      <c r="F110" s="27"/>
      <c r="G110" s="27"/>
    </row>
    <row r="111" spans="1:7" ht="22" customHeight="1" x14ac:dyDescent="0.25">
      <c r="A111" s="27"/>
      <c r="B111" s="27"/>
      <c r="C111" s="27"/>
      <c r="D111" s="27"/>
      <c r="E111" s="27"/>
      <c r="F111" s="27"/>
      <c r="G111" s="27"/>
    </row>
    <row r="112" spans="1:7" ht="22" customHeight="1" x14ac:dyDescent="0.25">
      <c r="A112" s="27"/>
      <c r="B112" s="27"/>
      <c r="C112" s="27"/>
      <c r="D112" s="27"/>
      <c r="E112" s="27"/>
      <c r="F112" s="27"/>
      <c r="G112" s="27"/>
    </row>
    <row r="113" spans="1:7" ht="22" customHeight="1" x14ac:dyDescent="0.25">
      <c r="A113" s="27"/>
      <c r="B113" s="27"/>
      <c r="C113" s="27"/>
      <c r="D113" s="27"/>
      <c r="E113" s="27"/>
      <c r="F113" s="27"/>
      <c r="G113" s="27"/>
    </row>
    <row r="114" spans="1:7" ht="22" customHeight="1" x14ac:dyDescent="0.25">
      <c r="A114" s="27"/>
      <c r="B114" s="27"/>
      <c r="C114" s="27"/>
      <c r="D114" s="27"/>
      <c r="E114" s="27"/>
      <c r="F114" s="27"/>
      <c r="G114" s="27"/>
    </row>
    <row r="115" spans="1:7" ht="22" customHeight="1" x14ac:dyDescent="0.25">
      <c r="A115" s="27"/>
      <c r="B115" s="27"/>
      <c r="C115" s="27"/>
      <c r="D115" s="27"/>
      <c r="E115" s="27"/>
      <c r="F115" s="27"/>
      <c r="G115" s="27"/>
    </row>
    <row r="116" spans="1:7" ht="22" customHeight="1" x14ac:dyDescent="0.25">
      <c r="A116" s="27"/>
      <c r="B116" s="27"/>
      <c r="C116" s="27"/>
      <c r="D116" s="27"/>
      <c r="E116" s="27"/>
      <c r="F116" s="27"/>
      <c r="G116" s="27"/>
    </row>
    <row r="117" spans="1:7" ht="22" customHeight="1" x14ac:dyDescent="0.25">
      <c r="A117" s="27"/>
      <c r="B117" s="27"/>
      <c r="C117" s="27"/>
      <c r="D117" s="27"/>
      <c r="E117" s="27"/>
      <c r="F117" s="27"/>
      <c r="G117" s="27"/>
    </row>
    <row r="118" spans="1:7" ht="22" customHeight="1" x14ac:dyDescent="0.25">
      <c r="A118" s="27"/>
      <c r="B118" s="27"/>
      <c r="C118" s="27"/>
      <c r="D118" s="27"/>
      <c r="E118" s="27"/>
      <c r="F118" s="27"/>
      <c r="G118" s="27"/>
    </row>
    <row r="119" spans="1:7" ht="22" customHeight="1" x14ac:dyDescent="0.25">
      <c r="A119" s="27"/>
      <c r="B119" s="27"/>
      <c r="C119" s="27"/>
      <c r="D119" s="27"/>
      <c r="E119" s="27"/>
      <c r="F119" s="27"/>
      <c r="G119" s="27"/>
    </row>
    <row r="120" spans="1:7" ht="22" customHeight="1" x14ac:dyDescent="0.25">
      <c r="A120" s="27"/>
      <c r="B120" s="27"/>
      <c r="C120" s="27"/>
      <c r="D120" s="27"/>
      <c r="E120" s="27"/>
      <c r="F120" s="27"/>
      <c r="G120" s="27"/>
    </row>
    <row r="121" spans="1:7" ht="22" customHeight="1" x14ac:dyDescent="0.25">
      <c r="A121" s="27"/>
      <c r="B121" s="27"/>
      <c r="C121" s="27"/>
      <c r="D121" s="27"/>
      <c r="E121" s="27"/>
      <c r="F121" s="27"/>
      <c r="G121" s="27"/>
    </row>
    <row r="122" spans="1:7" ht="22" customHeight="1" x14ac:dyDescent="0.25">
      <c r="A122" s="27"/>
      <c r="B122" s="27"/>
      <c r="C122" s="27"/>
      <c r="D122" s="27"/>
      <c r="E122" s="27"/>
      <c r="F122" s="27"/>
      <c r="G122" s="27"/>
    </row>
    <row r="123" spans="1:7" ht="22" customHeight="1" x14ac:dyDescent="0.25">
      <c r="A123" s="27"/>
      <c r="B123" s="27"/>
      <c r="C123" s="27"/>
      <c r="D123" s="27"/>
      <c r="E123" s="27"/>
      <c r="F123" s="27"/>
      <c r="G123" s="27"/>
    </row>
    <row r="124" spans="1:7" ht="22" customHeight="1" x14ac:dyDescent="0.25">
      <c r="A124" s="27"/>
      <c r="B124" s="27"/>
      <c r="C124" s="27"/>
      <c r="D124" s="27"/>
      <c r="E124" s="27"/>
      <c r="F124" s="27"/>
      <c r="G124" s="27"/>
    </row>
    <row r="125" spans="1:7" ht="22" customHeight="1" x14ac:dyDescent="0.25">
      <c r="A125" s="27"/>
      <c r="B125" s="27"/>
      <c r="C125" s="27"/>
      <c r="D125" s="27"/>
      <c r="E125" s="27"/>
      <c r="F125" s="27"/>
      <c r="G125" s="27"/>
    </row>
    <row r="126" spans="1:7" ht="22" customHeight="1" x14ac:dyDescent="0.25">
      <c r="A126" s="27"/>
      <c r="B126" s="27"/>
      <c r="C126" s="27"/>
      <c r="D126" s="27"/>
      <c r="E126" s="27"/>
      <c r="F126" s="27"/>
      <c r="G126" s="27"/>
    </row>
    <row r="127" spans="1:7" ht="22" customHeight="1" x14ac:dyDescent="0.25">
      <c r="A127" s="27"/>
      <c r="B127" s="27"/>
      <c r="C127" s="27"/>
      <c r="D127" s="27"/>
      <c r="E127" s="27"/>
      <c r="F127" s="27"/>
      <c r="G127" s="27"/>
    </row>
    <row r="128" spans="1:7" ht="22" customHeight="1" x14ac:dyDescent="0.25">
      <c r="A128" s="27"/>
      <c r="B128" s="27"/>
      <c r="C128" s="27"/>
      <c r="D128" s="27"/>
      <c r="E128" s="27"/>
      <c r="F128" s="27"/>
      <c r="G128" s="27"/>
    </row>
    <row r="129" spans="1:7" ht="22" customHeight="1" x14ac:dyDescent="0.25">
      <c r="A129" s="27"/>
      <c r="B129" s="27"/>
      <c r="C129" s="27"/>
      <c r="D129" s="27"/>
      <c r="E129" s="27"/>
      <c r="F129" s="27"/>
      <c r="G129" s="27"/>
    </row>
    <row r="130" spans="1:7" ht="22" customHeight="1" x14ac:dyDescent="0.25">
      <c r="A130" s="27"/>
      <c r="B130" s="27"/>
      <c r="C130" s="27"/>
      <c r="D130" s="27"/>
      <c r="E130" s="27"/>
      <c r="F130" s="27"/>
      <c r="G130" s="27"/>
    </row>
    <row r="131" spans="1:7" ht="22" customHeight="1" x14ac:dyDescent="0.25">
      <c r="A131" s="27"/>
      <c r="B131" s="27"/>
      <c r="C131" s="27"/>
      <c r="D131" s="27"/>
      <c r="E131" s="27"/>
      <c r="F131" s="27"/>
      <c r="G131" s="27"/>
    </row>
    <row r="132" spans="1:7" ht="22" customHeight="1" x14ac:dyDescent="0.25">
      <c r="A132" s="27"/>
      <c r="B132" s="27"/>
      <c r="C132" s="27"/>
      <c r="D132" s="27"/>
      <c r="E132" s="27"/>
      <c r="F132" s="27"/>
      <c r="G132" s="27"/>
    </row>
    <row r="133" spans="1:7" ht="22" customHeight="1" x14ac:dyDescent="0.25">
      <c r="A133" s="27"/>
      <c r="B133" s="27"/>
      <c r="C133" s="27"/>
      <c r="D133" s="27"/>
      <c r="E133" s="27"/>
      <c r="F133" s="27"/>
      <c r="G133" s="27"/>
    </row>
    <row r="134" spans="1:7" ht="22" customHeight="1" x14ac:dyDescent="0.25">
      <c r="A134" s="27"/>
      <c r="B134" s="27"/>
      <c r="C134" s="27"/>
      <c r="D134" s="27"/>
      <c r="E134" s="27"/>
      <c r="F134" s="27"/>
      <c r="G134" s="27"/>
    </row>
    <row r="135" spans="1:7" ht="22" customHeight="1" x14ac:dyDescent="0.25">
      <c r="A135" s="27"/>
      <c r="B135" s="27"/>
      <c r="C135" s="27"/>
      <c r="D135" s="27"/>
      <c r="E135" s="27"/>
      <c r="F135" s="27"/>
      <c r="G135" s="27"/>
    </row>
    <row r="136" spans="1:7" ht="22" customHeight="1" x14ac:dyDescent="0.25">
      <c r="A136" s="27"/>
      <c r="B136" s="27"/>
      <c r="C136" s="27"/>
      <c r="D136" s="27"/>
      <c r="E136" s="27"/>
      <c r="F136" s="27"/>
      <c r="G136" s="27"/>
    </row>
    <row r="137" spans="1:7" ht="22" customHeight="1" x14ac:dyDescent="0.25">
      <c r="A137" s="27"/>
      <c r="B137" s="27"/>
      <c r="C137" s="27"/>
      <c r="D137" s="27"/>
      <c r="E137" s="27"/>
      <c r="F137" s="27"/>
      <c r="G137" s="27"/>
    </row>
    <row r="138" spans="1:7" ht="22" customHeight="1" x14ac:dyDescent="0.25">
      <c r="A138" s="27"/>
      <c r="B138" s="27"/>
      <c r="C138" s="27"/>
      <c r="D138" s="27"/>
      <c r="E138" s="27"/>
      <c r="F138" s="27"/>
      <c r="G138" s="27"/>
    </row>
    <row r="139" spans="1:7" ht="22" customHeight="1" x14ac:dyDescent="0.25">
      <c r="A139" s="27"/>
      <c r="B139" s="27"/>
      <c r="C139" s="27"/>
      <c r="D139" s="27"/>
      <c r="E139" s="27"/>
      <c r="F139" s="27"/>
      <c r="G139" s="27"/>
    </row>
    <row r="140" spans="1:7" ht="22" customHeight="1" x14ac:dyDescent="0.25">
      <c r="A140" s="27"/>
      <c r="B140" s="27"/>
      <c r="C140" s="27"/>
      <c r="D140" s="27"/>
      <c r="E140" s="27"/>
      <c r="F140" s="27"/>
      <c r="G140" s="27"/>
    </row>
    <row r="141" spans="1:7" ht="22" customHeight="1" x14ac:dyDescent="0.25">
      <c r="A141" s="27"/>
      <c r="B141" s="27"/>
      <c r="C141" s="27"/>
      <c r="D141" s="27"/>
      <c r="E141" s="27"/>
      <c r="F141" s="27"/>
      <c r="G141" s="27"/>
    </row>
    <row r="142" spans="1:7" ht="22" customHeight="1" x14ac:dyDescent="0.25">
      <c r="A142" s="27"/>
      <c r="B142" s="27"/>
      <c r="C142" s="27"/>
      <c r="D142" s="27"/>
      <c r="E142" s="27"/>
      <c r="F142" s="27"/>
      <c r="G142" s="27"/>
    </row>
    <row r="143" spans="1:7" ht="22" customHeight="1" x14ac:dyDescent="0.25">
      <c r="A143" s="27"/>
      <c r="B143" s="27"/>
      <c r="C143" s="27"/>
      <c r="D143" s="27"/>
      <c r="E143" s="27"/>
      <c r="F143" s="27"/>
      <c r="G143" s="27"/>
    </row>
    <row r="144" spans="1:7" ht="22" customHeight="1" x14ac:dyDescent="0.25">
      <c r="A144" s="27"/>
      <c r="B144" s="27"/>
      <c r="C144" s="27"/>
      <c r="D144" s="27"/>
      <c r="E144" s="27"/>
      <c r="F144" s="27"/>
      <c r="G144" s="27"/>
    </row>
    <row r="145" spans="1:7" ht="22" customHeight="1" x14ac:dyDescent="0.25">
      <c r="A145" s="27"/>
      <c r="B145" s="27"/>
      <c r="C145" s="27"/>
      <c r="D145" s="27"/>
      <c r="E145" s="27"/>
      <c r="F145" s="27"/>
      <c r="G145" s="27"/>
    </row>
    <row r="146" spans="1:7" ht="22" customHeight="1" x14ac:dyDescent="0.25">
      <c r="A146" s="27"/>
      <c r="B146" s="27"/>
      <c r="C146" s="27"/>
      <c r="D146" s="27"/>
      <c r="E146" s="27"/>
      <c r="F146" s="27"/>
      <c r="G146" s="27"/>
    </row>
    <row r="147" spans="1:7" ht="22" customHeight="1" x14ac:dyDescent="0.25">
      <c r="A147" s="27"/>
      <c r="B147" s="27"/>
      <c r="C147" s="27"/>
      <c r="D147" s="27"/>
      <c r="E147" s="27"/>
      <c r="F147" s="27"/>
      <c r="G147" s="27"/>
    </row>
    <row r="148" spans="1:7" ht="22" customHeight="1" x14ac:dyDescent="0.25">
      <c r="A148" s="27"/>
      <c r="B148" s="27"/>
      <c r="C148" s="27"/>
      <c r="D148" s="27"/>
      <c r="E148" s="27"/>
      <c r="F148" s="27"/>
      <c r="G148" s="27"/>
    </row>
    <row r="149" spans="1:7" ht="22" customHeight="1" x14ac:dyDescent="0.25">
      <c r="A149" s="27"/>
      <c r="B149" s="27"/>
      <c r="C149" s="27"/>
      <c r="D149" s="27"/>
      <c r="E149" s="27"/>
      <c r="F149" s="27"/>
      <c r="G149" s="27"/>
    </row>
    <row r="150" spans="1:7" ht="22" customHeight="1" x14ac:dyDescent="0.25">
      <c r="A150" s="27"/>
      <c r="B150" s="27"/>
      <c r="C150" s="27"/>
      <c r="D150" s="27"/>
      <c r="E150" s="27"/>
      <c r="F150" s="27"/>
      <c r="G150" s="27"/>
    </row>
    <row r="151" spans="1:7" ht="22" customHeight="1" x14ac:dyDescent="0.25">
      <c r="A151" s="27"/>
      <c r="B151" s="27"/>
      <c r="C151" s="27"/>
      <c r="D151" s="27"/>
      <c r="E151" s="27"/>
      <c r="F151" s="27"/>
      <c r="G151" s="27"/>
    </row>
    <row r="152" spans="1:7" ht="22" customHeight="1" x14ac:dyDescent="0.25">
      <c r="A152" s="27"/>
      <c r="B152" s="27"/>
      <c r="C152" s="27"/>
      <c r="D152" s="27"/>
      <c r="E152" s="27"/>
      <c r="F152" s="27"/>
      <c r="G152" s="27"/>
    </row>
    <row r="153" spans="1:7" ht="22" customHeight="1" x14ac:dyDescent="0.25">
      <c r="A153" s="27"/>
      <c r="B153" s="27"/>
      <c r="C153" s="27"/>
      <c r="D153" s="27"/>
      <c r="E153" s="27"/>
      <c r="F153" s="27"/>
      <c r="G153" s="27"/>
    </row>
    <row r="154" spans="1:7" ht="22" customHeight="1" x14ac:dyDescent="0.25">
      <c r="A154" s="27"/>
      <c r="B154" s="27"/>
      <c r="C154" s="27"/>
      <c r="D154" s="27"/>
      <c r="E154" s="27"/>
      <c r="F154" s="27"/>
      <c r="G154" s="27"/>
    </row>
    <row r="155" spans="1:7" ht="22" customHeight="1" x14ac:dyDescent="0.25">
      <c r="A155" s="27"/>
      <c r="B155" s="27"/>
      <c r="C155" s="27"/>
      <c r="D155" s="27"/>
      <c r="E155" s="27"/>
      <c r="F155" s="27"/>
      <c r="G155" s="27"/>
    </row>
    <row r="156" spans="1:7" ht="22" customHeight="1" x14ac:dyDescent="0.25">
      <c r="A156" s="27"/>
      <c r="B156" s="27"/>
      <c r="C156" s="27"/>
      <c r="D156" s="27"/>
      <c r="E156" s="27"/>
      <c r="F156" s="27"/>
      <c r="G156" s="27"/>
    </row>
    <row r="157" spans="1:7" ht="22" customHeight="1" x14ac:dyDescent="0.25">
      <c r="A157" s="27"/>
      <c r="B157" s="27"/>
      <c r="C157" s="27"/>
      <c r="D157" s="27"/>
      <c r="E157" s="27"/>
      <c r="F157" s="27"/>
      <c r="G157" s="27"/>
    </row>
    <row r="158" spans="1:7" ht="22" customHeight="1" x14ac:dyDescent="0.25">
      <c r="A158" s="27"/>
      <c r="B158" s="27"/>
      <c r="C158" s="27"/>
      <c r="D158" s="27"/>
      <c r="E158" s="27"/>
      <c r="F158" s="27"/>
      <c r="G158" s="27"/>
    </row>
    <row r="159" spans="1:7" ht="22" customHeight="1" x14ac:dyDescent="0.25">
      <c r="A159" s="27"/>
      <c r="B159" s="27"/>
      <c r="C159" s="27"/>
      <c r="D159" s="27"/>
      <c r="E159" s="27"/>
      <c r="F159" s="27"/>
      <c r="G159" s="27"/>
    </row>
    <row r="160" spans="1:7" ht="22" customHeight="1" x14ac:dyDescent="0.25">
      <c r="A160" s="27"/>
      <c r="B160" s="27"/>
      <c r="C160" s="27"/>
      <c r="D160" s="27"/>
      <c r="E160" s="27"/>
      <c r="F160" s="27"/>
      <c r="G160" s="27"/>
    </row>
    <row r="161" spans="1:7" ht="22" customHeight="1" x14ac:dyDescent="0.25">
      <c r="A161" s="27"/>
      <c r="B161" s="27"/>
      <c r="C161" s="27"/>
      <c r="D161" s="27"/>
      <c r="E161" s="27"/>
      <c r="F161" s="27"/>
      <c r="G161" s="27"/>
    </row>
    <row r="162" spans="1:7" ht="22" customHeight="1" x14ac:dyDescent="0.25">
      <c r="A162" s="27"/>
      <c r="B162" s="27"/>
      <c r="C162" s="27"/>
      <c r="D162" s="27"/>
      <c r="E162" s="27"/>
      <c r="F162" s="27"/>
      <c r="G162" s="27"/>
    </row>
    <row r="163" spans="1:7" ht="22" customHeight="1" x14ac:dyDescent="0.25">
      <c r="A163" s="27"/>
      <c r="B163" s="27"/>
      <c r="C163" s="27"/>
      <c r="D163" s="27"/>
      <c r="E163" s="27"/>
      <c r="F163" s="27"/>
      <c r="G163" s="27"/>
    </row>
    <row r="164" spans="1:7" ht="22" customHeight="1" x14ac:dyDescent="0.25">
      <c r="A164" s="27"/>
      <c r="B164" s="27"/>
      <c r="C164" s="27"/>
      <c r="D164" s="27"/>
      <c r="E164" s="27"/>
      <c r="F164" s="27"/>
      <c r="G164" s="27"/>
    </row>
    <row r="165" spans="1:7" ht="22" customHeight="1" x14ac:dyDescent="0.25">
      <c r="A165" s="27"/>
      <c r="B165" s="27"/>
      <c r="C165" s="27"/>
      <c r="D165" s="27"/>
      <c r="E165" s="27"/>
      <c r="F165" s="27"/>
      <c r="G165" s="27"/>
    </row>
    <row r="166" spans="1:7" ht="22" customHeight="1" x14ac:dyDescent="0.25">
      <c r="A166" s="27"/>
      <c r="B166" s="27"/>
      <c r="C166" s="27"/>
      <c r="D166" s="27"/>
      <c r="E166" s="27"/>
      <c r="F166" s="27"/>
      <c r="G166" s="27"/>
    </row>
    <row r="167" spans="1:7" ht="22" customHeight="1" x14ac:dyDescent="0.25">
      <c r="A167" s="27"/>
      <c r="B167" s="27"/>
      <c r="C167" s="27"/>
      <c r="D167" s="27"/>
      <c r="E167" s="27"/>
      <c r="F167" s="27"/>
      <c r="G167" s="27"/>
    </row>
    <row r="168" spans="1:7" ht="22" customHeight="1" x14ac:dyDescent="0.25">
      <c r="A168" s="27"/>
      <c r="B168" s="27"/>
      <c r="C168" s="27"/>
      <c r="D168" s="27"/>
      <c r="E168" s="27"/>
      <c r="F168" s="27"/>
      <c r="G168" s="27"/>
    </row>
    <row r="169" spans="1:7" ht="22" customHeight="1" x14ac:dyDescent="0.25">
      <c r="A169" s="27"/>
      <c r="B169" s="27"/>
      <c r="C169" s="27"/>
      <c r="D169" s="27"/>
      <c r="E169" s="27"/>
      <c r="F169" s="27"/>
      <c r="G169" s="27"/>
    </row>
    <row r="170" spans="1:7" ht="22" customHeight="1" x14ac:dyDescent="0.25">
      <c r="A170" s="27"/>
      <c r="B170" s="27"/>
      <c r="C170" s="27"/>
      <c r="D170" s="27"/>
      <c r="E170" s="27"/>
      <c r="F170" s="27"/>
      <c r="G170" s="27"/>
    </row>
    <row r="171" spans="1:7" ht="22" customHeight="1" x14ac:dyDescent="0.25">
      <c r="A171" s="27"/>
      <c r="B171" s="27"/>
      <c r="C171" s="27"/>
      <c r="D171" s="27"/>
      <c r="E171" s="27"/>
      <c r="F171" s="27"/>
      <c r="G171" s="27"/>
    </row>
    <row r="172" spans="1:7" ht="22" customHeight="1" x14ac:dyDescent="0.25">
      <c r="A172" s="27"/>
      <c r="B172" s="27"/>
      <c r="C172" s="27"/>
      <c r="D172" s="27"/>
      <c r="E172" s="27"/>
      <c r="F172" s="27"/>
      <c r="G172" s="27"/>
    </row>
    <row r="173" spans="1:7" ht="22" customHeight="1" x14ac:dyDescent="0.25">
      <c r="A173" s="27"/>
      <c r="B173" s="27"/>
      <c r="C173" s="27"/>
      <c r="D173" s="27"/>
      <c r="E173" s="27"/>
      <c r="F173" s="27"/>
      <c r="G173" s="27"/>
    </row>
    <row r="174" spans="1:7" ht="22" customHeight="1" x14ac:dyDescent="0.25">
      <c r="A174" s="27"/>
      <c r="B174" s="27"/>
      <c r="C174" s="27"/>
      <c r="D174" s="27"/>
      <c r="E174" s="27"/>
      <c r="F174" s="27"/>
      <c r="G174" s="27"/>
    </row>
    <row r="175" spans="1:7" ht="22" customHeight="1" x14ac:dyDescent="0.25">
      <c r="A175" s="27"/>
      <c r="B175" s="27"/>
      <c r="C175" s="27"/>
      <c r="D175" s="27"/>
      <c r="E175" s="27"/>
      <c r="F175" s="27"/>
      <c r="G175" s="27"/>
    </row>
    <row r="176" spans="1:7" ht="22" customHeight="1" x14ac:dyDescent="0.25">
      <c r="A176" s="27"/>
      <c r="B176" s="27"/>
      <c r="C176" s="27"/>
      <c r="D176" s="27"/>
      <c r="E176" s="27"/>
      <c r="F176" s="27"/>
      <c r="G176" s="27"/>
    </row>
    <row r="177" spans="1:7" ht="22" customHeight="1" x14ac:dyDescent="0.25">
      <c r="A177" s="27"/>
      <c r="B177" s="27"/>
      <c r="C177" s="27"/>
      <c r="D177" s="27"/>
      <c r="E177" s="27"/>
      <c r="F177" s="27"/>
      <c r="G177" s="27"/>
    </row>
    <row r="178" spans="1:7" ht="22" customHeight="1" x14ac:dyDescent="0.25">
      <c r="A178" s="27"/>
      <c r="B178" s="27"/>
      <c r="C178" s="27"/>
      <c r="D178" s="27"/>
      <c r="E178" s="27"/>
      <c r="F178" s="27"/>
      <c r="G178" s="27"/>
    </row>
    <row r="179" spans="1:7" ht="22" customHeight="1" x14ac:dyDescent="0.25">
      <c r="A179" s="27"/>
      <c r="B179" s="27"/>
      <c r="C179" s="27"/>
      <c r="D179" s="27"/>
      <c r="E179" s="27"/>
      <c r="F179" s="27"/>
      <c r="G179" s="27"/>
    </row>
    <row r="180" spans="1:7" ht="22" customHeight="1" x14ac:dyDescent="0.25">
      <c r="A180" s="27"/>
      <c r="B180" s="27"/>
      <c r="C180" s="27"/>
      <c r="D180" s="27"/>
      <c r="E180" s="27"/>
      <c r="F180" s="27"/>
      <c r="G180" s="27"/>
    </row>
    <row r="181" spans="1:7" ht="22" customHeight="1" x14ac:dyDescent="0.25">
      <c r="A181" s="27"/>
      <c r="B181" s="27"/>
      <c r="C181" s="27"/>
      <c r="D181" s="27"/>
      <c r="E181" s="27"/>
      <c r="F181" s="27"/>
      <c r="G181" s="27"/>
    </row>
    <row r="182" spans="1:7" ht="22" customHeight="1" x14ac:dyDescent="0.25">
      <c r="A182" s="27"/>
      <c r="B182" s="27"/>
      <c r="C182" s="27"/>
      <c r="D182" s="27"/>
      <c r="E182" s="27"/>
      <c r="F182" s="27"/>
      <c r="G182" s="27"/>
    </row>
    <row r="183" spans="1:7" ht="22" customHeight="1" x14ac:dyDescent="0.25">
      <c r="A183" s="27"/>
      <c r="B183" s="27"/>
      <c r="C183" s="27"/>
      <c r="D183" s="27"/>
      <c r="E183" s="27"/>
      <c r="F183" s="27"/>
      <c r="G183" s="27"/>
    </row>
    <row r="184" spans="1:7" ht="22" customHeight="1" x14ac:dyDescent="0.25">
      <c r="A184" s="27"/>
      <c r="B184" s="27"/>
      <c r="C184" s="27"/>
      <c r="D184" s="27"/>
      <c r="E184" s="27"/>
      <c r="F184" s="27"/>
      <c r="G184" s="27"/>
    </row>
    <row r="185" spans="1:7" ht="22" customHeight="1" x14ac:dyDescent="0.25">
      <c r="A185" s="27"/>
      <c r="B185" s="27"/>
      <c r="C185" s="27"/>
      <c r="D185" s="27"/>
      <c r="E185" s="27"/>
      <c r="F185" s="27"/>
      <c r="G185" s="27"/>
    </row>
    <row r="186" spans="1:7" ht="22" customHeight="1" x14ac:dyDescent="0.25">
      <c r="A186" s="27"/>
      <c r="B186" s="27"/>
      <c r="C186" s="27"/>
      <c r="D186" s="27"/>
      <c r="E186" s="27"/>
      <c r="F186" s="27"/>
      <c r="G186" s="27"/>
    </row>
    <row r="187" spans="1:7" ht="22" customHeight="1" x14ac:dyDescent="0.25">
      <c r="A187" s="27"/>
      <c r="B187" s="27"/>
      <c r="C187" s="27"/>
      <c r="D187" s="27"/>
      <c r="E187" s="27"/>
      <c r="F187" s="27"/>
      <c r="G187" s="27"/>
    </row>
    <row r="188" spans="1:7" ht="22" customHeight="1" x14ac:dyDescent="0.25">
      <c r="A188" s="27"/>
      <c r="B188" s="27"/>
      <c r="C188" s="27"/>
      <c r="D188" s="27"/>
      <c r="E188" s="27"/>
      <c r="F188" s="27"/>
      <c r="G188" s="27"/>
    </row>
    <row r="189" spans="1:7" ht="22" customHeight="1" x14ac:dyDescent="0.25">
      <c r="A189" s="27"/>
      <c r="B189" s="27"/>
      <c r="C189" s="27"/>
      <c r="D189" s="27"/>
      <c r="E189" s="27"/>
      <c r="F189" s="27"/>
      <c r="G189" s="27"/>
    </row>
    <row r="190" spans="1:7" ht="22" customHeight="1" x14ac:dyDescent="0.25">
      <c r="A190" s="27"/>
      <c r="B190" s="27"/>
      <c r="C190" s="27"/>
      <c r="D190" s="27"/>
      <c r="E190" s="27"/>
      <c r="F190" s="27"/>
      <c r="G190" s="27"/>
    </row>
    <row r="191" spans="1:7" ht="22" customHeight="1" x14ac:dyDescent="0.25">
      <c r="A191" s="27"/>
      <c r="B191" s="27"/>
      <c r="C191" s="27"/>
      <c r="D191" s="27"/>
      <c r="E191" s="27"/>
      <c r="F191" s="27"/>
      <c r="G191" s="27"/>
    </row>
    <row r="192" spans="1:7" ht="22" customHeight="1" x14ac:dyDescent="0.25">
      <c r="A192" s="27"/>
      <c r="B192" s="27"/>
      <c r="C192" s="27"/>
      <c r="D192" s="27"/>
      <c r="E192" s="27"/>
      <c r="F192" s="27"/>
      <c r="G192" s="27"/>
    </row>
    <row r="193" spans="1:7" ht="22" customHeight="1" x14ac:dyDescent="0.25">
      <c r="A193" s="27"/>
      <c r="B193" s="27"/>
      <c r="C193" s="27"/>
      <c r="D193" s="27"/>
      <c r="E193" s="27"/>
      <c r="F193" s="27"/>
      <c r="G193" s="27"/>
    </row>
    <row r="194" spans="1:7" ht="22" customHeight="1" x14ac:dyDescent="0.25">
      <c r="A194" s="27"/>
      <c r="B194" s="27"/>
      <c r="C194" s="27"/>
      <c r="D194" s="27"/>
      <c r="E194" s="27"/>
      <c r="F194" s="27"/>
      <c r="G194" s="27"/>
    </row>
    <row r="195" spans="1:7" ht="22" customHeight="1" x14ac:dyDescent="0.25">
      <c r="A195" s="27"/>
      <c r="B195" s="27"/>
      <c r="C195" s="27"/>
      <c r="D195" s="27"/>
      <c r="E195" s="27"/>
      <c r="F195" s="27"/>
      <c r="G195" s="27"/>
    </row>
    <row r="196" spans="1:7" ht="22" customHeight="1" x14ac:dyDescent="0.25">
      <c r="A196" s="27"/>
      <c r="B196" s="27"/>
      <c r="C196" s="27"/>
      <c r="D196" s="27"/>
      <c r="E196" s="27"/>
      <c r="F196" s="27"/>
      <c r="G196" s="27"/>
    </row>
    <row r="197" spans="1:7" ht="22" customHeight="1" x14ac:dyDescent="0.25">
      <c r="A197" s="27"/>
      <c r="B197" s="27"/>
      <c r="C197" s="27"/>
      <c r="D197" s="27"/>
      <c r="E197" s="27"/>
      <c r="F197" s="27"/>
      <c r="G197" s="27"/>
    </row>
    <row r="198" spans="1:7" ht="22" customHeight="1" x14ac:dyDescent="0.25">
      <c r="A198" s="27"/>
      <c r="B198" s="27"/>
      <c r="C198" s="27"/>
      <c r="D198" s="27"/>
      <c r="E198" s="27"/>
      <c r="F198" s="27"/>
      <c r="G198" s="27"/>
    </row>
    <row r="199" spans="1:7" ht="22" customHeight="1" x14ac:dyDescent="0.25">
      <c r="A199" s="27"/>
      <c r="B199" s="27"/>
      <c r="C199" s="27"/>
      <c r="D199" s="27"/>
      <c r="E199" s="27"/>
      <c r="F199" s="27"/>
      <c r="G199" s="27"/>
    </row>
    <row r="200" spans="1:7" ht="22" customHeight="1" x14ac:dyDescent="0.25">
      <c r="A200" s="27"/>
      <c r="B200" s="27"/>
      <c r="C200" s="27"/>
      <c r="D200" s="27"/>
      <c r="E200" s="27"/>
      <c r="F200" s="27"/>
      <c r="G200" s="27"/>
    </row>
    <row r="201" spans="1:7" ht="22" customHeight="1" x14ac:dyDescent="0.25">
      <c r="A201" s="27"/>
      <c r="B201" s="27"/>
      <c r="C201" s="27"/>
      <c r="D201" s="27"/>
      <c r="E201" s="27"/>
      <c r="F201" s="27"/>
      <c r="G201" s="27"/>
    </row>
    <row r="202" spans="1:7" ht="22" customHeight="1" x14ac:dyDescent="0.25">
      <c r="A202" s="27"/>
      <c r="B202" s="27"/>
      <c r="C202" s="27"/>
      <c r="D202" s="27"/>
      <c r="E202" s="27"/>
      <c r="F202" s="27"/>
      <c r="G202" s="27"/>
    </row>
    <row r="203" spans="1:7" ht="22" customHeight="1" x14ac:dyDescent="0.25">
      <c r="A203" s="27"/>
      <c r="B203" s="27"/>
      <c r="C203" s="27"/>
      <c r="D203" s="27"/>
      <c r="E203" s="27"/>
      <c r="F203" s="27"/>
      <c r="G203" s="27"/>
    </row>
    <row r="204" spans="1:7" ht="22" customHeight="1" x14ac:dyDescent="0.25">
      <c r="A204" s="27"/>
      <c r="B204" s="27"/>
      <c r="C204" s="27"/>
      <c r="D204" s="27"/>
      <c r="E204" s="27"/>
      <c r="F204" s="27"/>
      <c r="G204" s="27"/>
    </row>
    <row r="205" spans="1:7" ht="22" customHeight="1" x14ac:dyDescent="0.25">
      <c r="A205" s="27"/>
      <c r="B205" s="27"/>
      <c r="C205" s="27"/>
      <c r="D205" s="27"/>
      <c r="E205" s="27"/>
      <c r="F205" s="27"/>
      <c r="G205" s="27"/>
    </row>
    <row r="206" spans="1:7" ht="22" customHeight="1" x14ac:dyDescent="0.25">
      <c r="A206" s="27"/>
      <c r="B206" s="27"/>
      <c r="C206" s="27"/>
      <c r="D206" s="27"/>
      <c r="E206" s="27"/>
      <c r="F206" s="27"/>
      <c r="G206" s="27"/>
    </row>
    <row r="207" spans="1:7" ht="22" customHeight="1" x14ac:dyDescent="0.25">
      <c r="A207" s="27"/>
      <c r="B207" s="27"/>
      <c r="C207" s="27"/>
      <c r="D207" s="27"/>
      <c r="E207" s="27"/>
      <c r="F207" s="27"/>
      <c r="G207" s="27"/>
    </row>
    <row r="208" spans="1:7" ht="22" customHeight="1" x14ac:dyDescent="0.25">
      <c r="A208" s="27"/>
      <c r="B208" s="27"/>
      <c r="C208" s="27"/>
      <c r="D208" s="27"/>
      <c r="E208" s="27"/>
      <c r="F208" s="27"/>
      <c r="G208" s="27"/>
    </row>
    <row r="209" spans="1:7" ht="22" customHeight="1" x14ac:dyDescent="0.25">
      <c r="A209" s="27"/>
      <c r="B209" s="27"/>
      <c r="C209" s="27"/>
      <c r="D209" s="27"/>
      <c r="E209" s="27"/>
      <c r="F209" s="27"/>
      <c r="G209" s="27"/>
    </row>
    <row r="210" spans="1:7" ht="22" customHeight="1" x14ac:dyDescent="0.25">
      <c r="A210" s="27"/>
      <c r="B210" s="27"/>
      <c r="C210" s="27"/>
      <c r="D210" s="27"/>
      <c r="E210" s="27"/>
      <c r="F210" s="27"/>
      <c r="G210" s="27"/>
    </row>
    <row r="211" spans="1:7" ht="22" customHeight="1" x14ac:dyDescent="0.25">
      <c r="A211" s="27"/>
      <c r="B211" s="27"/>
      <c r="C211" s="27"/>
      <c r="D211" s="27"/>
      <c r="E211" s="27"/>
      <c r="F211" s="27"/>
      <c r="G211" s="27"/>
    </row>
    <row r="212" spans="1:7" ht="22" customHeight="1" x14ac:dyDescent="0.25">
      <c r="A212" s="27"/>
      <c r="B212" s="27"/>
      <c r="C212" s="27"/>
      <c r="D212" s="27"/>
      <c r="E212" s="27"/>
      <c r="F212" s="27"/>
      <c r="G212" s="27"/>
    </row>
    <row r="213" spans="1:7" ht="22" customHeight="1" x14ac:dyDescent="0.25">
      <c r="A213" s="27"/>
      <c r="B213" s="27"/>
      <c r="C213" s="27"/>
      <c r="D213" s="27"/>
      <c r="E213" s="27"/>
      <c r="F213" s="27"/>
      <c r="G213" s="27"/>
    </row>
    <row r="214" spans="1:7" ht="22" customHeight="1" x14ac:dyDescent="0.25">
      <c r="A214" s="27"/>
      <c r="B214" s="27"/>
      <c r="C214" s="27"/>
      <c r="D214" s="27"/>
      <c r="E214" s="27"/>
      <c r="F214" s="27"/>
      <c r="G214" s="27"/>
    </row>
    <row r="215" spans="1:7" ht="22" customHeight="1" x14ac:dyDescent="0.25">
      <c r="A215" s="27"/>
      <c r="B215" s="27"/>
      <c r="C215" s="27"/>
      <c r="D215" s="27"/>
      <c r="E215" s="27"/>
      <c r="F215" s="27"/>
      <c r="G215" s="27"/>
    </row>
    <row r="216" spans="1:7" ht="22" customHeight="1" x14ac:dyDescent="0.25">
      <c r="A216" s="27"/>
      <c r="B216" s="27"/>
      <c r="C216" s="27"/>
      <c r="D216" s="27"/>
      <c r="E216" s="27"/>
      <c r="F216" s="27"/>
      <c r="G216" s="27"/>
    </row>
    <row r="217" spans="1:7" ht="22" customHeight="1" x14ac:dyDescent="0.25">
      <c r="A217" s="27"/>
      <c r="B217" s="27"/>
      <c r="C217" s="27"/>
      <c r="D217" s="27"/>
      <c r="E217" s="27"/>
      <c r="F217" s="27"/>
      <c r="G217" s="27"/>
    </row>
    <row r="218" spans="1:7" ht="22" customHeight="1" x14ac:dyDescent="0.25">
      <c r="A218" s="27"/>
      <c r="B218" s="27"/>
      <c r="C218" s="27"/>
      <c r="D218" s="27"/>
      <c r="E218" s="27"/>
      <c r="F218" s="27"/>
      <c r="G218" s="27"/>
    </row>
    <row r="219" spans="1:7" ht="22" customHeight="1" x14ac:dyDescent="0.25">
      <c r="A219" s="27"/>
      <c r="B219" s="27"/>
      <c r="C219" s="27"/>
      <c r="D219" s="27"/>
      <c r="E219" s="27"/>
      <c r="F219" s="27"/>
      <c r="G219" s="27"/>
    </row>
    <row r="220" spans="1:7" ht="22" customHeight="1" x14ac:dyDescent="0.25">
      <c r="A220" s="27"/>
      <c r="B220" s="27"/>
      <c r="C220" s="27"/>
      <c r="D220" s="27"/>
      <c r="E220" s="27"/>
      <c r="F220" s="27"/>
      <c r="G220" s="27"/>
    </row>
    <row r="221" spans="1:7" ht="22" customHeight="1" x14ac:dyDescent="0.25">
      <c r="A221" s="27"/>
      <c r="B221" s="27"/>
      <c r="C221" s="27"/>
      <c r="D221" s="27"/>
      <c r="E221" s="27"/>
      <c r="F221" s="27"/>
      <c r="G221" s="27"/>
    </row>
    <row r="222" spans="1:7" ht="22" customHeight="1" x14ac:dyDescent="0.25">
      <c r="A222" s="27"/>
      <c r="B222" s="27"/>
      <c r="C222" s="27"/>
      <c r="D222" s="27"/>
      <c r="E222" s="27"/>
      <c r="F222" s="27"/>
      <c r="G222" s="27"/>
    </row>
    <row r="223" spans="1:7" ht="22" customHeight="1" x14ac:dyDescent="0.25">
      <c r="A223" s="27"/>
      <c r="B223" s="27"/>
      <c r="C223" s="27"/>
      <c r="D223" s="27"/>
      <c r="E223" s="27"/>
      <c r="F223" s="27"/>
      <c r="G223" s="27"/>
    </row>
    <row r="224" spans="1:7" ht="22" customHeight="1" x14ac:dyDescent="0.25">
      <c r="A224" s="27"/>
      <c r="B224" s="27"/>
      <c r="C224" s="27"/>
      <c r="D224" s="27"/>
      <c r="E224" s="27"/>
      <c r="F224" s="27"/>
      <c r="G224" s="27"/>
    </row>
    <row r="225" spans="1:7" ht="22" customHeight="1" x14ac:dyDescent="0.25">
      <c r="A225" s="27"/>
      <c r="B225" s="27"/>
      <c r="C225" s="27"/>
      <c r="D225" s="27"/>
      <c r="E225" s="27"/>
      <c r="F225" s="27"/>
      <c r="G225" s="27"/>
    </row>
    <row r="226" spans="1:7" ht="22" customHeight="1" x14ac:dyDescent="0.25">
      <c r="A226" s="27"/>
      <c r="B226" s="27"/>
      <c r="C226" s="27"/>
      <c r="D226" s="27"/>
      <c r="E226" s="27"/>
      <c r="F226" s="27"/>
      <c r="G226" s="27"/>
    </row>
    <row r="227" spans="1:7" ht="22" customHeight="1" x14ac:dyDescent="0.25">
      <c r="A227" s="27"/>
      <c r="B227" s="27"/>
      <c r="C227" s="27"/>
      <c r="D227" s="27"/>
      <c r="E227" s="27"/>
      <c r="F227" s="27"/>
      <c r="G227" s="27"/>
    </row>
    <row r="228" spans="1:7" ht="22" customHeight="1" x14ac:dyDescent="0.25">
      <c r="A228" s="27"/>
      <c r="B228" s="27"/>
      <c r="C228" s="27"/>
      <c r="D228" s="27"/>
      <c r="E228" s="27"/>
      <c r="F228" s="27"/>
      <c r="G228" s="27"/>
    </row>
    <row r="229" spans="1:7" ht="22" customHeight="1" x14ac:dyDescent="0.25">
      <c r="A229" s="27"/>
      <c r="B229" s="27"/>
      <c r="C229" s="27"/>
      <c r="D229" s="27"/>
      <c r="E229" s="27"/>
      <c r="F229" s="27"/>
      <c r="G229" s="27"/>
    </row>
    <row r="230" spans="1:7" ht="22" customHeight="1" x14ac:dyDescent="0.25">
      <c r="A230" s="27"/>
      <c r="B230" s="27"/>
      <c r="C230" s="27"/>
      <c r="D230" s="27"/>
      <c r="E230" s="27"/>
      <c r="F230" s="27"/>
      <c r="G230" s="27"/>
    </row>
    <row r="231" spans="1:7" ht="22" customHeight="1" x14ac:dyDescent="0.25">
      <c r="A231" s="27"/>
      <c r="B231" s="27"/>
      <c r="C231" s="27"/>
      <c r="D231" s="27"/>
      <c r="E231" s="27"/>
      <c r="F231" s="27"/>
      <c r="G231" s="27"/>
    </row>
    <row r="232" spans="1:7" ht="22" customHeight="1" x14ac:dyDescent="0.25">
      <c r="A232" s="27"/>
      <c r="B232" s="27"/>
      <c r="C232" s="27"/>
      <c r="D232" s="27"/>
      <c r="E232" s="27"/>
      <c r="F232" s="27"/>
      <c r="G232" s="27"/>
    </row>
    <row r="233" spans="1:7" ht="22" customHeight="1" x14ac:dyDescent="0.25">
      <c r="A233" s="27"/>
      <c r="B233" s="27"/>
      <c r="C233" s="27"/>
      <c r="D233" s="27"/>
      <c r="E233" s="27"/>
      <c r="F233" s="27"/>
      <c r="G233" s="27"/>
    </row>
    <row r="234" spans="1:7" ht="22" customHeight="1" x14ac:dyDescent="0.25">
      <c r="A234" s="27"/>
      <c r="B234" s="27"/>
      <c r="C234" s="27"/>
      <c r="D234" s="27"/>
      <c r="E234" s="27"/>
      <c r="F234" s="27"/>
      <c r="G234" s="27"/>
    </row>
    <row r="235" spans="1:7" ht="22" customHeight="1" x14ac:dyDescent="0.25">
      <c r="A235" s="27"/>
      <c r="B235" s="27"/>
      <c r="C235" s="27"/>
      <c r="D235" s="27"/>
      <c r="E235" s="27"/>
      <c r="F235" s="27"/>
      <c r="G235" s="27"/>
    </row>
    <row r="236" spans="1:7" ht="22" customHeight="1" x14ac:dyDescent="0.25">
      <c r="A236" s="27"/>
      <c r="B236" s="27"/>
      <c r="C236" s="27"/>
      <c r="D236" s="27"/>
      <c r="E236" s="27"/>
      <c r="F236" s="27"/>
      <c r="G236" s="27"/>
    </row>
    <row r="237" spans="1:7" ht="22" customHeight="1" x14ac:dyDescent="0.25">
      <c r="A237" s="27"/>
      <c r="B237" s="27"/>
      <c r="C237" s="27"/>
      <c r="D237" s="27"/>
      <c r="E237" s="27"/>
      <c r="F237" s="27"/>
      <c r="G237" s="27"/>
    </row>
    <row r="238" spans="1:7" ht="22" customHeight="1" x14ac:dyDescent="0.25">
      <c r="A238" s="27"/>
      <c r="B238" s="27"/>
      <c r="C238" s="27"/>
      <c r="D238" s="27"/>
      <c r="E238" s="27"/>
      <c r="F238" s="27"/>
      <c r="G238" s="27"/>
    </row>
    <row r="239" spans="1:7" ht="22" customHeight="1" x14ac:dyDescent="0.25">
      <c r="A239" s="27"/>
      <c r="B239" s="27"/>
      <c r="C239" s="27"/>
      <c r="D239" s="27"/>
      <c r="E239" s="27"/>
      <c r="F239" s="27"/>
      <c r="G239" s="27"/>
    </row>
    <row r="240" spans="1:7" ht="22" customHeight="1" x14ac:dyDescent="0.25">
      <c r="A240" s="27"/>
      <c r="B240" s="27"/>
      <c r="C240" s="27"/>
      <c r="D240" s="27"/>
      <c r="E240" s="27"/>
      <c r="F240" s="27"/>
      <c r="G240" s="27"/>
    </row>
    <row r="241" spans="1:7" ht="22" customHeight="1" x14ac:dyDescent="0.25">
      <c r="A241" s="27"/>
      <c r="B241" s="27"/>
      <c r="C241" s="27"/>
      <c r="D241" s="27"/>
      <c r="E241" s="27"/>
      <c r="F241" s="27"/>
      <c r="G241" s="27"/>
    </row>
    <row r="242" spans="1:7" ht="22" customHeight="1" x14ac:dyDescent="0.25">
      <c r="A242" s="27"/>
      <c r="B242" s="27"/>
      <c r="C242" s="27"/>
      <c r="D242" s="27"/>
      <c r="E242" s="27"/>
      <c r="F242" s="27"/>
      <c r="G242" s="27"/>
    </row>
    <row r="243" spans="1:7" ht="22" customHeight="1" x14ac:dyDescent="0.25">
      <c r="A243" s="27"/>
      <c r="B243" s="27"/>
      <c r="C243" s="27"/>
      <c r="D243" s="27"/>
      <c r="E243" s="27"/>
      <c r="F243" s="27"/>
      <c r="G243" s="27"/>
    </row>
    <row r="244" spans="1:7" ht="22" customHeight="1" x14ac:dyDescent="0.25">
      <c r="A244" s="27"/>
      <c r="B244" s="27"/>
      <c r="C244" s="27"/>
      <c r="D244" s="27"/>
      <c r="E244" s="27"/>
      <c r="F244" s="27"/>
      <c r="G244" s="27"/>
    </row>
    <row r="245" spans="1:7" ht="22" customHeight="1" x14ac:dyDescent="0.25">
      <c r="A245" s="27"/>
      <c r="B245" s="27"/>
      <c r="C245" s="27"/>
      <c r="D245" s="27"/>
      <c r="E245" s="27"/>
      <c r="F245" s="27"/>
      <c r="G245" s="27"/>
    </row>
    <row r="246" spans="1:7" ht="22" customHeight="1" x14ac:dyDescent="0.25">
      <c r="A246" s="27"/>
      <c r="B246" s="27"/>
      <c r="C246" s="27"/>
      <c r="D246" s="27"/>
      <c r="E246" s="27"/>
      <c r="F246" s="27"/>
      <c r="G246" s="27"/>
    </row>
    <row r="247" spans="1:7" ht="22" customHeight="1" x14ac:dyDescent="0.25">
      <c r="A247" s="27"/>
      <c r="B247" s="27"/>
      <c r="C247" s="27"/>
      <c r="D247" s="27"/>
      <c r="E247" s="27"/>
      <c r="F247" s="27"/>
      <c r="G247" s="27"/>
    </row>
    <row r="248" spans="1:7" ht="22" customHeight="1" x14ac:dyDescent="0.25">
      <c r="A248" s="27"/>
      <c r="B248" s="27"/>
      <c r="C248" s="27"/>
      <c r="D248" s="27"/>
      <c r="E248" s="27"/>
      <c r="F248" s="27"/>
      <c r="G248" s="27"/>
    </row>
    <row r="249" spans="1:7" ht="22" customHeight="1" x14ac:dyDescent="0.25">
      <c r="A249" s="27"/>
      <c r="B249" s="27"/>
      <c r="C249" s="27"/>
      <c r="D249" s="27"/>
      <c r="E249" s="27"/>
      <c r="F249" s="27"/>
      <c r="G249" s="27"/>
    </row>
    <row r="250" spans="1:7" ht="22" customHeight="1" x14ac:dyDescent="0.25">
      <c r="A250" s="27"/>
      <c r="B250" s="27"/>
      <c r="C250" s="27"/>
      <c r="D250" s="27"/>
      <c r="E250" s="27"/>
      <c r="F250" s="27"/>
      <c r="G250" s="27"/>
    </row>
    <row r="251" spans="1:7" ht="22" customHeight="1" x14ac:dyDescent="0.25">
      <c r="A251" s="27"/>
      <c r="B251" s="27"/>
      <c r="C251" s="27"/>
      <c r="D251" s="27"/>
      <c r="E251" s="27"/>
      <c r="F251" s="27"/>
      <c r="G251" s="27"/>
    </row>
    <row r="252" spans="1:7" ht="22" customHeight="1" x14ac:dyDescent="0.25">
      <c r="A252" s="27"/>
      <c r="B252" s="27"/>
      <c r="C252" s="27"/>
      <c r="D252" s="27"/>
      <c r="E252" s="27"/>
      <c r="F252" s="27"/>
      <c r="G252" s="27"/>
    </row>
    <row r="253" spans="1:7" ht="22" customHeight="1" x14ac:dyDescent="0.25">
      <c r="A253" s="27"/>
      <c r="B253" s="27"/>
      <c r="C253" s="27"/>
      <c r="D253" s="27"/>
      <c r="E253" s="27"/>
      <c r="F253" s="27"/>
      <c r="G253" s="27"/>
    </row>
    <row r="254" spans="1:7" ht="22" customHeight="1" x14ac:dyDescent="0.25">
      <c r="A254" s="27"/>
      <c r="B254" s="27"/>
      <c r="C254" s="27"/>
      <c r="D254" s="27"/>
      <c r="E254" s="27"/>
      <c r="F254" s="27"/>
      <c r="G254" s="27"/>
    </row>
    <row r="255" spans="1:7" ht="22" customHeight="1" x14ac:dyDescent="0.25">
      <c r="A255" s="27"/>
      <c r="B255" s="27"/>
      <c r="C255" s="27"/>
      <c r="D255" s="27"/>
      <c r="E255" s="27"/>
      <c r="F255" s="27"/>
      <c r="G255" s="27"/>
    </row>
    <row r="256" spans="1:7" ht="22" customHeight="1" x14ac:dyDescent="0.25">
      <c r="A256" s="27"/>
      <c r="B256" s="27"/>
      <c r="C256" s="27"/>
      <c r="D256" s="27"/>
      <c r="E256" s="27"/>
      <c r="F256" s="27"/>
      <c r="G256" s="27"/>
    </row>
    <row r="257" spans="1:7" ht="22" customHeight="1" x14ac:dyDescent="0.25">
      <c r="A257" s="27"/>
      <c r="B257" s="27"/>
      <c r="C257" s="27"/>
      <c r="D257" s="27"/>
      <c r="E257" s="27"/>
      <c r="F257" s="27"/>
      <c r="G257" s="27"/>
    </row>
    <row r="258" spans="1:7" ht="22" customHeight="1" x14ac:dyDescent="0.25">
      <c r="A258" s="27"/>
      <c r="B258" s="27"/>
      <c r="C258" s="27"/>
      <c r="D258" s="27"/>
      <c r="E258" s="27"/>
      <c r="F258" s="27"/>
      <c r="G258" s="27"/>
    </row>
    <row r="259" spans="1:7" ht="22" customHeight="1" x14ac:dyDescent="0.25">
      <c r="A259" s="27"/>
      <c r="B259" s="27"/>
      <c r="C259" s="27"/>
      <c r="D259" s="27"/>
      <c r="E259" s="27"/>
      <c r="F259" s="27"/>
      <c r="G259" s="27"/>
    </row>
    <row r="260" spans="1:7" ht="22" customHeight="1" x14ac:dyDescent="0.25">
      <c r="A260" s="27"/>
      <c r="B260" s="27"/>
      <c r="C260" s="27"/>
      <c r="D260" s="27"/>
      <c r="E260" s="27"/>
      <c r="F260" s="27"/>
      <c r="G260" s="27"/>
    </row>
  </sheetData>
  <autoFilter ref="A3:G260" xr:uid="{00000000-0009-0000-0000-000003000000}"/>
  <mergeCells count="1">
    <mergeCell ref="A1:G2"/>
  </mergeCells>
  <phoneticPr fontId="4" type="noConversion"/>
  <dataValidations count="1">
    <dataValidation type="list" allowBlank="1" error="请输入清单中的标准值" prompt="请选择模板允许的标准值" sqref="H4:H260" xr:uid="{00000000-0002-0000-0300-000000000000}">
      <formula1>YesNoList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showGridLines="0" workbookViewId="0">
      <selection activeCell="M4" sqref="M4"/>
    </sheetView>
  </sheetViews>
  <sheetFormatPr defaultRowHeight="14" x14ac:dyDescent="0.25"/>
  <cols>
    <col min="1" max="1" width="27" bestFit="1" customWidth="1"/>
    <col min="3" max="3" width="16.08984375" bestFit="1" customWidth="1"/>
    <col min="5" max="5" width="22.26953125" bestFit="1" customWidth="1"/>
    <col min="13" max="13" width="52" customWidth="1"/>
  </cols>
  <sheetData>
    <row r="1" spans="1:14" ht="28" customHeight="1" x14ac:dyDescent="0.25">
      <c r="A1" s="18" t="s">
        <v>149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22" customHeight="1" x14ac:dyDescent="0.25"/>
    <row r="3" spans="1:14" ht="28" customHeight="1" x14ac:dyDescent="0.3">
      <c r="A3" s="12" t="s">
        <v>45</v>
      </c>
      <c r="C3" s="12" t="s">
        <v>150</v>
      </c>
      <c r="E3" s="12" t="s">
        <v>79</v>
      </c>
      <c r="M3" s="13" t="s">
        <v>151</v>
      </c>
    </row>
    <row r="4" spans="1:14" x14ac:dyDescent="0.25">
      <c r="A4" s="14" t="s">
        <v>59</v>
      </c>
      <c r="C4" s="14" t="s">
        <v>101</v>
      </c>
      <c r="E4" s="14" t="s">
        <v>134</v>
      </c>
      <c r="M4" s="15" t="s">
        <v>152</v>
      </c>
    </row>
    <row r="5" spans="1:14" x14ac:dyDescent="0.25">
      <c r="A5" s="14" t="s">
        <v>153</v>
      </c>
      <c r="C5" s="14" t="s">
        <v>102</v>
      </c>
      <c r="E5" s="14" t="s">
        <v>98</v>
      </c>
      <c r="M5" s="15" t="s">
        <v>154</v>
      </c>
    </row>
    <row r="6" spans="1:14" x14ac:dyDescent="0.25">
      <c r="A6" s="14" t="s">
        <v>155</v>
      </c>
      <c r="E6" s="14" t="s">
        <v>126</v>
      </c>
      <c r="M6" s="15" t="s">
        <v>156</v>
      </c>
    </row>
    <row r="7" spans="1:14" x14ac:dyDescent="0.25">
      <c r="A7" s="14" t="s">
        <v>157</v>
      </c>
      <c r="E7" s="14" t="s">
        <v>111</v>
      </c>
      <c r="M7" s="15" t="s">
        <v>158</v>
      </c>
    </row>
    <row r="8" spans="1:14" x14ac:dyDescent="0.25">
      <c r="A8" s="14" t="s">
        <v>159</v>
      </c>
      <c r="E8" s="14" t="s">
        <v>119</v>
      </c>
      <c r="M8" s="15" t="s">
        <v>160</v>
      </c>
    </row>
    <row r="9" spans="1:14" ht="28" x14ac:dyDescent="0.25">
      <c r="A9" s="14" t="s">
        <v>161</v>
      </c>
      <c r="E9" s="14" t="s">
        <v>162</v>
      </c>
      <c r="M9" s="15" t="s">
        <v>163</v>
      </c>
    </row>
    <row r="10" spans="1:14" x14ac:dyDescent="0.25">
      <c r="M10" s="15" t="s">
        <v>164</v>
      </c>
    </row>
    <row r="11" spans="1:14" x14ac:dyDescent="0.25">
      <c r="M11" s="15" t="s">
        <v>165</v>
      </c>
    </row>
  </sheetData>
  <mergeCells count="1">
    <mergeCell ref="A1:N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填写说明</vt:lpstr>
      <vt:lpstr>分类层级</vt:lpstr>
      <vt:lpstr>属性定义</vt:lpstr>
      <vt:lpstr>枚举值定义</vt:lpstr>
      <vt:lpstr>代码清单</vt:lpstr>
      <vt:lpstr>BusinessDomainList</vt:lpstr>
      <vt:lpstr>DataTypeList</vt:lpstr>
      <vt:lpstr>YesNoList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α Altair</cp:lastModifiedBy>
  <dcterms:created xsi:type="dcterms:W3CDTF">2026-03-20T08:52:29Z</dcterms:created>
  <dcterms:modified xsi:type="dcterms:W3CDTF">2026-03-20T09:18:24Z</dcterms:modified>
</cp:coreProperties>
</file>